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kor\Desktop\Stockie\"/>
    </mc:Choice>
  </mc:AlternateContent>
  <xr:revisionPtr revIDLastSave="0" documentId="13_ncr:2001_{0D17526B-752F-4B79-97F5-42C0DC99EF84}" xr6:coauthVersionLast="47" xr6:coauthVersionMax="47" xr10:uidLastSave="{00000000-0000-0000-0000-000000000000}"/>
  <bookViews>
    <workbookView xWindow="4395" yWindow="3195" windowWidth="29790" windowHeight="14760" tabRatio="787" firstSheet="8" activeTab="21" xr2:uid="{0D315D7D-D057-4BD7-B5D6-896636B09A34}"/>
  </bookViews>
  <sheets>
    <sheet name="aapl" sheetId="2" r:id="rId1"/>
    <sheet name="tsla" sheetId="3" r:id="rId2"/>
    <sheet name="sp500" sheetId="20" r:id="rId3"/>
    <sheet name="sma_5_aapl" sheetId="4" r:id="rId4"/>
    <sheet name="ema_3_aapl" sheetId="5" r:id="rId5"/>
    <sheet name="macd_12_26_tsla" sheetId="6" r:id="rId6"/>
    <sheet name="adx_5_tsla" sheetId="7" r:id="rId7"/>
    <sheet name="rsi_5_tsla" sheetId="9" r:id="rId8"/>
    <sheet name="stoch_5_3" sheetId="10" r:id="rId9"/>
    <sheet name="cci_5_tsla" sheetId="11" r:id="rId10"/>
    <sheet name="momentum_4_tsla" sheetId="12" r:id="rId11"/>
    <sheet name="daily_return" sheetId="13" r:id="rId12"/>
    <sheet name="cum_return" sheetId="14" r:id="rId13"/>
    <sheet name="adx_5_20_aapl" sheetId="15" r:id="rId14"/>
    <sheet name="tr_tsla" sheetId="16" r:id="rId15"/>
    <sheet name="atr_tsla" sheetId="17" r:id="rId16"/>
    <sheet name="stddev_5_tsla" sheetId="18" r:id="rId17"/>
    <sheet name="vsma_5_aapl" sheetId="21" r:id="rId18"/>
    <sheet name="vema_5_aapl" sheetId="19" r:id="rId19"/>
    <sheet name="pvt_tsla" sheetId="22" r:id="rId20"/>
    <sheet name="obv_tsla" sheetId="23" r:id="rId21"/>
    <sheet name="cmf_5_tsla" sheetId="24" r:id="rId22"/>
    <sheet name="Sheet17" sheetId="25" r:id="rId23"/>
  </sheets>
  <definedNames>
    <definedName name="_xlnm._FilterDatabase" localSheetId="6" hidden="1">adx_5_tsla!$A$1:$AH$1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4" l="1"/>
  <c r="N8" i="24"/>
  <c r="N9" i="24"/>
  <c r="N10" i="24"/>
  <c r="N11" i="24"/>
  <c r="N12" i="24"/>
  <c r="N13" i="24"/>
  <c r="N14" i="24"/>
  <c r="N15" i="24"/>
  <c r="N16" i="24"/>
  <c r="N6" i="24"/>
  <c r="M7" i="24"/>
  <c r="M8" i="24"/>
  <c r="M9" i="24"/>
  <c r="M10" i="24"/>
  <c r="M11" i="24"/>
  <c r="M12" i="24"/>
  <c r="M13" i="24"/>
  <c r="M14" i="24"/>
  <c r="M15" i="24"/>
  <c r="M16" i="24"/>
  <c r="M6" i="24"/>
  <c r="K2" i="24"/>
  <c r="J2" i="24"/>
  <c r="G2" i="24"/>
  <c r="L7" i="24"/>
  <c r="L8" i="24"/>
  <c r="L9" i="24"/>
  <c r="L10" i="24"/>
  <c r="L11" i="24"/>
  <c r="L12" i="24"/>
  <c r="L13" i="24"/>
  <c r="L14" i="24"/>
  <c r="L15" i="24"/>
  <c r="L16" i="24"/>
  <c r="L6" i="24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D3" i="24"/>
  <c r="I3" i="24" s="1"/>
  <c r="D4" i="24"/>
  <c r="D5" i="24"/>
  <c r="D6" i="24"/>
  <c r="D7" i="24"/>
  <c r="D8" i="24"/>
  <c r="D9" i="24"/>
  <c r="D10" i="24"/>
  <c r="G10" i="24" s="1"/>
  <c r="D11" i="24"/>
  <c r="G11" i="24" s="1"/>
  <c r="D12" i="24"/>
  <c r="D13" i="24"/>
  <c r="I13" i="24" s="1"/>
  <c r="D14" i="24"/>
  <c r="G14" i="24" s="1"/>
  <c r="D15" i="24"/>
  <c r="I15" i="24" s="1"/>
  <c r="D16" i="24"/>
  <c r="I16" i="24" s="1"/>
  <c r="D2" i="24"/>
  <c r="C4" i="24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3" i="24"/>
  <c r="H7" i="24"/>
  <c r="I7" i="24"/>
  <c r="H8" i="24"/>
  <c r="I8" i="24"/>
  <c r="H11" i="24"/>
  <c r="I11" i="24"/>
  <c r="H12" i="24"/>
  <c r="I12" i="24"/>
  <c r="H13" i="24"/>
  <c r="H14" i="24"/>
  <c r="G7" i="24"/>
  <c r="G8" i="24"/>
  <c r="G12" i="24"/>
  <c r="G16" i="24"/>
  <c r="F1" i="24"/>
  <c r="F2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B1" i="24"/>
  <c r="D1" i="24"/>
  <c r="E1" i="24"/>
  <c r="E16" i="24"/>
  <c r="B16" i="24"/>
  <c r="H16" i="24" s="1"/>
  <c r="A16" i="24"/>
  <c r="E15" i="24"/>
  <c r="B15" i="24"/>
  <c r="H15" i="24" s="1"/>
  <c r="A15" i="24"/>
  <c r="E14" i="24"/>
  <c r="B14" i="24"/>
  <c r="A14" i="24"/>
  <c r="E13" i="24"/>
  <c r="B13" i="24"/>
  <c r="A13" i="24"/>
  <c r="E12" i="24"/>
  <c r="B12" i="24"/>
  <c r="A12" i="24"/>
  <c r="E11" i="24"/>
  <c r="B11" i="24"/>
  <c r="A11" i="24"/>
  <c r="E10" i="24"/>
  <c r="B10" i="24"/>
  <c r="H10" i="24" s="1"/>
  <c r="A10" i="24"/>
  <c r="E9" i="24"/>
  <c r="G9" i="24"/>
  <c r="B9" i="24"/>
  <c r="H9" i="24" s="1"/>
  <c r="A9" i="24"/>
  <c r="E8" i="24"/>
  <c r="B8" i="24"/>
  <c r="A8" i="24"/>
  <c r="E7" i="24"/>
  <c r="B7" i="24"/>
  <c r="A7" i="24"/>
  <c r="E6" i="24"/>
  <c r="G6" i="24"/>
  <c r="B6" i="24"/>
  <c r="H6" i="24" s="1"/>
  <c r="A6" i="24"/>
  <c r="E5" i="24"/>
  <c r="G5" i="24"/>
  <c r="B5" i="24"/>
  <c r="H5" i="24" s="1"/>
  <c r="A5" i="24"/>
  <c r="E4" i="24"/>
  <c r="I4" i="24"/>
  <c r="B4" i="24"/>
  <c r="H4" i="24" s="1"/>
  <c r="A4" i="24"/>
  <c r="E3" i="24"/>
  <c r="B3" i="24"/>
  <c r="H3" i="24" s="1"/>
  <c r="A3" i="24"/>
  <c r="E2" i="24"/>
  <c r="I2" i="24"/>
  <c r="B2" i="24"/>
  <c r="H2" i="24" s="1"/>
  <c r="A2" i="24"/>
  <c r="G4" i="23"/>
  <c r="G5" i="23" s="1"/>
  <c r="G6" i="23" s="1"/>
  <c r="G7" i="23" s="1"/>
  <c r="G8" i="23" s="1"/>
  <c r="G9" i="23" s="1"/>
  <c r="G10" i="23" s="1"/>
  <c r="G11" i="23" s="1"/>
  <c r="G12" i="23" s="1"/>
  <c r="G13" i="23" s="1"/>
  <c r="G14" i="23" s="1"/>
  <c r="G15" i="23" s="1"/>
  <c r="G16" i="23" s="1"/>
  <c r="G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3" i="23"/>
  <c r="C16" i="23"/>
  <c r="B16" i="23"/>
  <c r="A16" i="23"/>
  <c r="C15" i="23"/>
  <c r="B15" i="23"/>
  <c r="A15" i="23"/>
  <c r="C14" i="23"/>
  <c r="B14" i="23"/>
  <c r="A14" i="23"/>
  <c r="C13" i="23"/>
  <c r="B13" i="23"/>
  <c r="A13" i="23"/>
  <c r="C12" i="23"/>
  <c r="B12" i="23"/>
  <c r="A12" i="23"/>
  <c r="C11" i="23"/>
  <c r="B11" i="23"/>
  <c r="A11" i="23"/>
  <c r="C10" i="23"/>
  <c r="B10" i="23"/>
  <c r="A10" i="23"/>
  <c r="C9" i="23"/>
  <c r="B9" i="23"/>
  <c r="A9" i="23"/>
  <c r="C8" i="23"/>
  <c r="B8" i="23"/>
  <c r="A8" i="23"/>
  <c r="C7" i="23"/>
  <c r="B7" i="23"/>
  <c r="A7" i="23"/>
  <c r="C6" i="23"/>
  <c r="B6" i="23"/>
  <c r="A6" i="23"/>
  <c r="C5" i="23"/>
  <c r="B5" i="23"/>
  <c r="A5" i="23"/>
  <c r="C4" i="23"/>
  <c r="B4" i="23"/>
  <c r="A4" i="23"/>
  <c r="C3" i="23"/>
  <c r="B3" i="23"/>
  <c r="A3" i="23"/>
  <c r="C2" i="23"/>
  <c r="B2" i="23"/>
  <c r="A2" i="23"/>
  <c r="C1" i="23"/>
  <c r="B1" i="23"/>
  <c r="F4" i="22"/>
  <c r="F5" i="22" s="1"/>
  <c r="F6" i="22" s="1"/>
  <c r="F7" i="22" s="1"/>
  <c r="F8" i="22" s="1"/>
  <c r="F9" i="22" s="1"/>
  <c r="F10" i="22" s="1"/>
  <c r="F11" i="22" s="1"/>
  <c r="F12" i="22" s="1"/>
  <c r="F13" i="22" s="1"/>
  <c r="F14" i="22" s="1"/>
  <c r="F15" i="22" s="1"/>
  <c r="F16" i="22" s="1"/>
  <c r="F3" i="22"/>
  <c r="F2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3" i="22"/>
  <c r="B1" i="22"/>
  <c r="C2" i="22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3" i="22"/>
  <c r="A3" i="22"/>
  <c r="B2" i="22"/>
  <c r="A2" i="22"/>
  <c r="D4" i="19"/>
  <c r="D5" i="19"/>
  <c r="D6" i="19"/>
  <c r="D7" i="19"/>
  <c r="D8" i="19"/>
  <c r="D9" i="19"/>
  <c r="D10" i="19" s="1"/>
  <c r="D11" i="19" s="1"/>
  <c r="D3" i="19"/>
  <c r="D2" i="19"/>
  <c r="D14" i="19"/>
  <c r="C11" i="19"/>
  <c r="B11" i="19"/>
  <c r="C10" i="19"/>
  <c r="B10" i="19"/>
  <c r="C9" i="19"/>
  <c r="B9" i="19"/>
  <c r="C8" i="19"/>
  <c r="B8" i="19"/>
  <c r="C7" i="19"/>
  <c r="B7" i="19"/>
  <c r="C6" i="19"/>
  <c r="B6" i="19"/>
  <c r="C5" i="19"/>
  <c r="B5" i="19"/>
  <c r="C4" i="19"/>
  <c r="B4" i="19"/>
  <c r="C3" i="19"/>
  <c r="B3" i="19"/>
  <c r="C2" i="19"/>
  <c r="B2" i="19"/>
  <c r="A2" i="19"/>
  <c r="A3" i="19" s="1"/>
  <c r="A4" i="19" s="1"/>
  <c r="A5" i="19" s="1"/>
  <c r="A6" i="19" s="1"/>
  <c r="A7" i="19" s="1"/>
  <c r="A8" i="19" s="1"/>
  <c r="A9" i="19" s="1"/>
  <c r="A10" i="19" s="1"/>
  <c r="A11" i="19" s="1"/>
  <c r="C1" i="19"/>
  <c r="C3" i="5"/>
  <c r="D7" i="21"/>
  <c r="D8" i="21"/>
  <c r="D9" i="21"/>
  <c r="D10" i="21"/>
  <c r="D11" i="21"/>
  <c r="D6" i="21"/>
  <c r="C3" i="21"/>
  <c r="C4" i="21"/>
  <c r="C5" i="21"/>
  <c r="C6" i="21"/>
  <c r="C7" i="21"/>
  <c r="C8" i="21"/>
  <c r="C9" i="21"/>
  <c r="C10" i="21"/>
  <c r="C11" i="21"/>
  <c r="C1" i="21"/>
  <c r="C2" i="21"/>
  <c r="B11" i="21"/>
  <c r="B10" i="21"/>
  <c r="B9" i="21"/>
  <c r="B8" i="21"/>
  <c r="B7" i="21"/>
  <c r="B6" i="21"/>
  <c r="B5" i="21"/>
  <c r="B4" i="21"/>
  <c r="B3" i="21"/>
  <c r="B2" i="21"/>
  <c r="A2" i="21"/>
  <c r="A3" i="21" s="1"/>
  <c r="A4" i="21" s="1"/>
  <c r="A5" i="21" s="1"/>
  <c r="A6" i="21" s="1"/>
  <c r="A7" i="21" s="1"/>
  <c r="A8" i="21" s="1"/>
  <c r="A9" i="21" s="1"/>
  <c r="A10" i="21" s="1"/>
  <c r="A11" i="21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C14" i="18"/>
  <c r="C6" i="18"/>
  <c r="C7" i="18"/>
  <c r="C8" i="18"/>
  <c r="C9" i="18"/>
  <c r="C10" i="18"/>
  <c r="C11" i="18"/>
  <c r="C12" i="18"/>
  <c r="C13" i="18"/>
  <c r="C15" i="18"/>
  <c r="C16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B2" i="18"/>
  <c r="A2" i="18"/>
  <c r="J7" i="17"/>
  <c r="J8" i="17"/>
  <c r="J9" i="17"/>
  <c r="J10" i="17"/>
  <c r="J11" i="17"/>
  <c r="J12" i="17"/>
  <c r="J13" i="17"/>
  <c r="J14" i="17"/>
  <c r="J15" i="17"/>
  <c r="J16" i="17"/>
  <c r="J6" i="17"/>
  <c r="D16" i="17"/>
  <c r="C16" i="17"/>
  <c r="B16" i="17"/>
  <c r="A16" i="17"/>
  <c r="E15" i="17"/>
  <c r="D15" i="17"/>
  <c r="H15" i="17" s="1"/>
  <c r="C15" i="17"/>
  <c r="G15" i="17" s="1"/>
  <c r="B15" i="17"/>
  <c r="E16" i="17" s="1"/>
  <c r="A15" i="17"/>
  <c r="E14" i="17"/>
  <c r="G14" i="17" s="1"/>
  <c r="D14" i="17"/>
  <c r="H14" i="17" s="1"/>
  <c r="C14" i="17"/>
  <c r="B14" i="17"/>
  <c r="A14" i="17"/>
  <c r="D13" i="17"/>
  <c r="C13" i="17"/>
  <c r="B13" i="17"/>
  <c r="A13" i="17"/>
  <c r="E12" i="17"/>
  <c r="D12" i="17"/>
  <c r="H12" i="17" s="1"/>
  <c r="C12" i="17"/>
  <c r="G12" i="17" s="1"/>
  <c r="B12" i="17"/>
  <c r="E13" i="17" s="1"/>
  <c r="A12" i="17"/>
  <c r="D11" i="17"/>
  <c r="C11" i="17"/>
  <c r="F11" i="17" s="1"/>
  <c r="B11" i="17"/>
  <c r="A11" i="17"/>
  <c r="D10" i="17"/>
  <c r="C10" i="17"/>
  <c r="F10" i="17" s="1"/>
  <c r="B10" i="17"/>
  <c r="E11" i="17" s="1"/>
  <c r="A10" i="17"/>
  <c r="E9" i="17"/>
  <c r="D9" i="17"/>
  <c r="H9" i="17" s="1"/>
  <c r="C9" i="17"/>
  <c r="F9" i="17" s="1"/>
  <c r="B9" i="17"/>
  <c r="E10" i="17" s="1"/>
  <c r="A9" i="17"/>
  <c r="D8" i="17"/>
  <c r="C8" i="17"/>
  <c r="B8" i="17"/>
  <c r="A8" i="17"/>
  <c r="E7" i="17"/>
  <c r="D7" i="17"/>
  <c r="H7" i="17" s="1"/>
  <c r="C7" i="17"/>
  <c r="G7" i="17" s="1"/>
  <c r="B7" i="17"/>
  <c r="E8" i="17" s="1"/>
  <c r="A7" i="17"/>
  <c r="E6" i="17"/>
  <c r="G6" i="17" s="1"/>
  <c r="D6" i="17"/>
  <c r="H6" i="17" s="1"/>
  <c r="C6" i="17"/>
  <c r="B6" i="17"/>
  <c r="A6" i="17"/>
  <c r="D5" i="17"/>
  <c r="C5" i="17"/>
  <c r="B5" i="17"/>
  <c r="A5" i="17"/>
  <c r="E4" i="17"/>
  <c r="D4" i="17"/>
  <c r="H4" i="17" s="1"/>
  <c r="C4" i="17"/>
  <c r="G4" i="17" s="1"/>
  <c r="B4" i="17"/>
  <c r="E5" i="17" s="1"/>
  <c r="A4" i="17"/>
  <c r="D3" i="17"/>
  <c r="C3" i="17"/>
  <c r="F3" i="17" s="1"/>
  <c r="B3" i="17"/>
  <c r="A3" i="17"/>
  <c r="D2" i="17"/>
  <c r="C2" i="17"/>
  <c r="F2" i="17" s="1"/>
  <c r="I2" i="17" s="1"/>
  <c r="B2" i="17"/>
  <c r="E3" i="17" s="1"/>
  <c r="A2" i="17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2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3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2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3" i="16"/>
  <c r="D16" i="16"/>
  <c r="C16" i="16"/>
  <c r="B16" i="16"/>
  <c r="A16" i="16"/>
  <c r="D15" i="16"/>
  <c r="C15" i="16"/>
  <c r="B15" i="16"/>
  <c r="A15" i="16"/>
  <c r="D14" i="16"/>
  <c r="C14" i="16"/>
  <c r="B14" i="16"/>
  <c r="A14" i="16"/>
  <c r="D13" i="16"/>
  <c r="C13" i="16"/>
  <c r="B13" i="16"/>
  <c r="A13" i="16"/>
  <c r="D12" i="16"/>
  <c r="C12" i="16"/>
  <c r="B12" i="16"/>
  <c r="A12" i="16"/>
  <c r="D11" i="16"/>
  <c r="C11" i="16"/>
  <c r="B11" i="16"/>
  <c r="A11" i="16"/>
  <c r="D10" i="16"/>
  <c r="C10" i="16"/>
  <c r="B10" i="16"/>
  <c r="A10" i="16"/>
  <c r="D9" i="16"/>
  <c r="C9" i="16"/>
  <c r="B9" i="16"/>
  <c r="A9" i="16"/>
  <c r="D8" i="16"/>
  <c r="C8" i="16"/>
  <c r="B8" i="16"/>
  <c r="A8" i="16"/>
  <c r="D7" i="16"/>
  <c r="C7" i="16"/>
  <c r="B7" i="16"/>
  <c r="A7" i="16"/>
  <c r="D6" i="16"/>
  <c r="C6" i="16"/>
  <c r="B6" i="16"/>
  <c r="A6" i="16"/>
  <c r="D5" i="16"/>
  <c r="C5" i="16"/>
  <c r="B5" i="16"/>
  <c r="A5" i="16"/>
  <c r="D4" i="16"/>
  <c r="C4" i="16"/>
  <c r="B4" i="16"/>
  <c r="A4" i="16"/>
  <c r="D3" i="16"/>
  <c r="C3" i="16"/>
  <c r="B3" i="16"/>
  <c r="A3" i="16"/>
  <c r="D2" i="16"/>
  <c r="C2" i="16"/>
  <c r="B2" i="16"/>
  <c r="A2" i="16"/>
  <c r="D8" i="15"/>
  <c r="D7" i="15"/>
  <c r="D6" i="15"/>
  <c r="D9" i="15"/>
  <c r="D10" i="15"/>
  <c r="D11" i="15"/>
  <c r="G7" i="15"/>
  <c r="G8" i="15"/>
  <c r="G9" i="15"/>
  <c r="G10" i="15"/>
  <c r="G11" i="15"/>
  <c r="G6" i="15"/>
  <c r="F7" i="15"/>
  <c r="F8" i="15"/>
  <c r="F9" i="15"/>
  <c r="F10" i="15"/>
  <c r="F11" i="15"/>
  <c r="F6" i="15"/>
  <c r="E8" i="15"/>
  <c r="E9" i="15"/>
  <c r="E10" i="15"/>
  <c r="E11" i="15"/>
  <c r="E7" i="15"/>
  <c r="C7" i="15"/>
  <c r="C8" i="15"/>
  <c r="C9" i="15"/>
  <c r="C10" i="15"/>
  <c r="C11" i="15"/>
  <c r="C6" i="15"/>
  <c r="A9" i="15"/>
  <c r="B9" i="15"/>
  <c r="A10" i="15"/>
  <c r="B10" i="15"/>
  <c r="A11" i="15"/>
  <c r="B11" i="15"/>
  <c r="B8" i="15"/>
  <c r="A8" i="15"/>
  <c r="B7" i="15"/>
  <c r="A7" i="15"/>
  <c r="B6" i="15"/>
  <c r="A6" i="15"/>
  <c r="B5" i="15"/>
  <c r="A5" i="15"/>
  <c r="B4" i="15"/>
  <c r="A4" i="15"/>
  <c r="B3" i="15"/>
  <c r="A3" i="15"/>
  <c r="B2" i="15"/>
  <c r="A2" i="15"/>
  <c r="D4" i="14"/>
  <c r="D5" i="14" s="1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3" i="14"/>
  <c r="B16" i="14"/>
  <c r="C16" i="14" s="1"/>
  <c r="A16" i="14"/>
  <c r="B15" i="14"/>
  <c r="C15" i="14" s="1"/>
  <c r="A15" i="14"/>
  <c r="B14" i="14"/>
  <c r="C14" i="14" s="1"/>
  <c r="A14" i="14"/>
  <c r="B13" i="14"/>
  <c r="C13" i="14" s="1"/>
  <c r="A13" i="14"/>
  <c r="B12" i="14"/>
  <c r="C12" i="14" s="1"/>
  <c r="A12" i="14"/>
  <c r="B11" i="14"/>
  <c r="C11" i="14" s="1"/>
  <c r="A11" i="14"/>
  <c r="B10" i="14"/>
  <c r="C10" i="14" s="1"/>
  <c r="A10" i="14"/>
  <c r="B9" i="14"/>
  <c r="C9" i="14" s="1"/>
  <c r="A9" i="14"/>
  <c r="B8" i="14"/>
  <c r="C8" i="14" s="1"/>
  <c r="A8" i="14"/>
  <c r="B7" i="14"/>
  <c r="C7" i="14" s="1"/>
  <c r="A7" i="14"/>
  <c r="B6" i="14"/>
  <c r="A6" i="14"/>
  <c r="B5" i="14"/>
  <c r="C5" i="14" s="1"/>
  <c r="A5" i="14"/>
  <c r="B4" i="14"/>
  <c r="C4" i="14" s="1"/>
  <c r="A4" i="14"/>
  <c r="B3" i="14"/>
  <c r="C3" i="14" s="1"/>
  <c r="A3" i="14"/>
  <c r="B2" i="14"/>
  <c r="A2" i="14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3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3" i="13"/>
  <c r="A3" i="13"/>
  <c r="B2" i="13"/>
  <c r="A2" i="13"/>
  <c r="D7" i="12"/>
  <c r="D8" i="12"/>
  <c r="D9" i="12"/>
  <c r="D10" i="12"/>
  <c r="D11" i="12"/>
  <c r="D12" i="12"/>
  <c r="D13" i="12"/>
  <c r="D14" i="12"/>
  <c r="D15" i="12"/>
  <c r="D16" i="12"/>
  <c r="D6" i="12"/>
  <c r="C7" i="12"/>
  <c r="C8" i="12"/>
  <c r="C9" i="12"/>
  <c r="C10" i="12"/>
  <c r="C11" i="12"/>
  <c r="C12" i="12"/>
  <c r="C13" i="12"/>
  <c r="C14" i="12"/>
  <c r="C15" i="12"/>
  <c r="C16" i="12"/>
  <c r="C6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H6" i="11"/>
  <c r="H7" i="11"/>
  <c r="H8" i="11"/>
  <c r="H9" i="11"/>
  <c r="G6" i="11"/>
  <c r="G7" i="11"/>
  <c r="G8" i="11"/>
  <c r="G9" i="11"/>
  <c r="G10" i="11"/>
  <c r="G11" i="11"/>
  <c r="H11" i="11" s="1"/>
  <c r="G12" i="11"/>
  <c r="G13" i="11"/>
  <c r="G14" i="11"/>
  <c r="G15" i="11"/>
  <c r="G16" i="11"/>
  <c r="H12" i="11"/>
  <c r="H13" i="11"/>
  <c r="H14" i="11"/>
  <c r="H15" i="11"/>
  <c r="H16" i="11"/>
  <c r="H10" i="11"/>
  <c r="F7" i="11"/>
  <c r="F8" i="11"/>
  <c r="F9" i="11"/>
  <c r="F10" i="11"/>
  <c r="F11" i="11"/>
  <c r="F12" i="11"/>
  <c r="F13" i="11"/>
  <c r="F14" i="11"/>
  <c r="F15" i="11"/>
  <c r="F16" i="11"/>
  <c r="F6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2" i="11"/>
  <c r="C2" i="11"/>
  <c r="D2" i="11"/>
  <c r="C3" i="11"/>
  <c r="D3" i="11"/>
  <c r="C4" i="11"/>
  <c r="D4" i="11"/>
  <c r="C5" i="11"/>
  <c r="D5" i="11"/>
  <c r="C6" i="11"/>
  <c r="D6" i="11"/>
  <c r="C7" i="11"/>
  <c r="D7" i="11"/>
  <c r="C8" i="11"/>
  <c r="D8" i="11"/>
  <c r="C9" i="11"/>
  <c r="D9" i="11"/>
  <c r="C10" i="11"/>
  <c r="D10" i="11"/>
  <c r="C11" i="11"/>
  <c r="D11" i="11"/>
  <c r="C12" i="11"/>
  <c r="D12" i="11"/>
  <c r="C13" i="11"/>
  <c r="D13" i="11"/>
  <c r="C14" i="11"/>
  <c r="D14" i="11"/>
  <c r="C15" i="11"/>
  <c r="D15" i="11"/>
  <c r="C16" i="11"/>
  <c r="D16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F7" i="10"/>
  <c r="F8" i="10"/>
  <c r="F9" i="10"/>
  <c r="F10" i="10"/>
  <c r="F11" i="10"/>
  <c r="F12" i="10"/>
  <c r="F13" i="10"/>
  <c r="F14" i="10"/>
  <c r="F15" i="10"/>
  <c r="F16" i="10"/>
  <c r="F6" i="10"/>
  <c r="E7" i="10"/>
  <c r="E8" i="10"/>
  <c r="E9" i="10"/>
  <c r="E10" i="10"/>
  <c r="E11" i="10"/>
  <c r="E12" i="10"/>
  <c r="E13" i="10"/>
  <c r="E14" i="10"/>
  <c r="E15" i="10"/>
  <c r="E16" i="10"/>
  <c r="E6" i="10"/>
  <c r="C3" i="10"/>
  <c r="D3" i="10"/>
  <c r="C4" i="10"/>
  <c r="D4" i="10"/>
  <c r="C5" i="10"/>
  <c r="D5" i="10"/>
  <c r="C6" i="10"/>
  <c r="D6" i="10"/>
  <c r="C7" i="10"/>
  <c r="D7" i="10"/>
  <c r="C8" i="10"/>
  <c r="D8" i="10"/>
  <c r="C9" i="10"/>
  <c r="D9" i="10"/>
  <c r="C10" i="10"/>
  <c r="D10" i="10"/>
  <c r="C11" i="10"/>
  <c r="D11" i="10"/>
  <c r="C12" i="10"/>
  <c r="D12" i="10"/>
  <c r="C13" i="10"/>
  <c r="D13" i="10"/>
  <c r="C14" i="10"/>
  <c r="D14" i="10"/>
  <c r="C15" i="10"/>
  <c r="D15" i="10"/>
  <c r="C16" i="10"/>
  <c r="D16" i="10"/>
  <c r="C2" i="10"/>
  <c r="D2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B3" i="10"/>
  <c r="A3" i="10"/>
  <c r="B2" i="10"/>
  <c r="A2" i="10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3" i="9"/>
  <c r="H3" i="9" s="1"/>
  <c r="F5" i="9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E5" i="9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4" i="9"/>
  <c r="H4" i="9" s="1"/>
  <c r="F4" i="9"/>
  <c r="F3" i="9"/>
  <c r="E18" i="9"/>
  <c r="C2" i="5"/>
  <c r="B15" i="5"/>
  <c r="D11" i="9"/>
  <c r="D12" i="9"/>
  <c r="D13" i="9"/>
  <c r="D14" i="9"/>
  <c r="D15" i="9"/>
  <c r="D16" i="9"/>
  <c r="D3" i="9"/>
  <c r="C4" i="9"/>
  <c r="C5" i="9"/>
  <c r="C12" i="9"/>
  <c r="A4" i="9"/>
  <c r="B4" i="9"/>
  <c r="D4" i="9" s="1"/>
  <c r="A5" i="9"/>
  <c r="B5" i="9"/>
  <c r="D5" i="9" s="1"/>
  <c r="A6" i="9"/>
  <c r="B6" i="9"/>
  <c r="C6" i="9" s="1"/>
  <c r="A7" i="9"/>
  <c r="B7" i="9"/>
  <c r="C7" i="9" s="1"/>
  <c r="A8" i="9"/>
  <c r="B8" i="9"/>
  <c r="D8" i="9" s="1"/>
  <c r="A9" i="9"/>
  <c r="B9" i="9"/>
  <c r="C9" i="9" s="1"/>
  <c r="A10" i="9"/>
  <c r="B10" i="9"/>
  <c r="C10" i="9" s="1"/>
  <c r="A11" i="9"/>
  <c r="B11" i="9"/>
  <c r="C11" i="9" s="1"/>
  <c r="A12" i="9"/>
  <c r="B12" i="9"/>
  <c r="A13" i="9"/>
  <c r="B13" i="9"/>
  <c r="C13" i="9" s="1"/>
  <c r="A14" i="9"/>
  <c r="B14" i="9"/>
  <c r="C14" i="9" s="1"/>
  <c r="A15" i="9"/>
  <c r="B15" i="9"/>
  <c r="C15" i="9" s="1"/>
  <c r="A16" i="9"/>
  <c r="B16" i="9"/>
  <c r="C16" i="9" s="1"/>
  <c r="A3" i="9"/>
  <c r="B3" i="9"/>
  <c r="C3" i="9" s="1"/>
  <c r="E3" i="9" s="1"/>
  <c r="B2" i="9"/>
  <c r="A2" i="9"/>
  <c r="I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Y15" i="7"/>
  <c r="R17" i="7"/>
  <c r="R16" i="7"/>
  <c r="D12" i="7"/>
  <c r="D27" i="7" s="1"/>
  <c r="D15" i="7"/>
  <c r="D30" i="7" s="1"/>
  <c r="B16" i="7"/>
  <c r="B31" i="7" s="1"/>
  <c r="B15" i="7"/>
  <c r="B30" i="7" s="1"/>
  <c r="B14" i="7"/>
  <c r="B29" i="7" s="1"/>
  <c r="B13" i="7"/>
  <c r="B28" i="7" s="1"/>
  <c r="B12" i="7"/>
  <c r="B27" i="7" s="1"/>
  <c r="B11" i="7"/>
  <c r="B26" i="7" s="1"/>
  <c r="A11" i="7"/>
  <c r="B10" i="7"/>
  <c r="B25" i="7" s="1"/>
  <c r="A10" i="7"/>
  <c r="B9" i="7"/>
  <c r="B24" i="7" s="1"/>
  <c r="A9" i="7"/>
  <c r="B8" i="7"/>
  <c r="B23" i="7" s="1"/>
  <c r="A8" i="7"/>
  <c r="B7" i="7"/>
  <c r="B22" i="7" s="1"/>
  <c r="A7" i="7"/>
  <c r="B6" i="7"/>
  <c r="B21" i="7" s="1"/>
  <c r="A6" i="7"/>
  <c r="B5" i="7"/>
  <c r="B20" i="7" s="1"/>
  <c r="B4" i="7"/>
  <c r="A4" i="7"/>
  <c r="B3" i="7"/>
  <c r="A3" i="7"/>
  <c r="B2" i="7"/>
  <c r="B17" i="7" s="1"/>
  <c r="A2" i="7"/>
  <c r="F19" i="6"/>
  <c r="D19" i="6"/>
  <c r="C19" i="6"/>
  <c r="B15" i="6"/>
  <c r="B16" i="6"/>
  <c r="A3" i="6"/>
  <c r="B3" i="6"/>
  <c r="A4" i="6"/>
  <c r="B4" i="6"/>
  <c r="A5" i="6"/>
  <c r="B5" i="6"/>
  <c r="A6" i="6"/>
  <c r="B6" i="6"/>
  <c r="A7" i="6"/>
  <c r="B7" i="6"/>
  <c r="B8" i="6"/>
  <c r="A9" i="6"/>
  <c r="B9" i="6"/>
  <c r="A10" i="6"/>
  <c r="B10" i="6"/>
  <c r="A11" i="6"/>
  <c r="B11" i="6"/>
  <c r="B12" i="6"/>
  <c r="B13" i="6"/>
  <c r="B14" i="6"/>
  <c r="B2" i="6"/>
  <c r="D2" i="6" s="1"/>
  <c r="A2" i="6"/>
  <c r="B3" i="5"/>
  <c r="B4" i="5"/>
  <c r="B5" i="5"/>
  <c r="B7" i="5"/>
  <c r="B11" i="5"/>
  <c r="B2" i="5"/>
  <c r="A3" i="5"/>
  <c r="A4" i="5" s="1"/>
  <c r="A5" i="5" s="1"/>
  <c r="A6" i="5" s="1"/>
  <c r="A7" i="5" s="1"/>
  <c r="A8" i="5" s="1"/>
  <c r="A9" i="5" s="1"/>
  <c r="A10" i="5" s="1"/>
  <c r="A11" i="5" s="1"/>
  <c r="A2" i="5"/>
  <c r="C9" i="4"/>
  <c r="C8" i="4"/>
  <c r="C6" i="4"/>
  <c r="C7" i="4"/>
  <c r="C5" i="4"/>
  <c r="B6" i="4"/>
  <c r="B7" i="4"/>
  <c r="B8" i="4"/>
  <c r="B9" i="4"/>
  <c r="B11" i="4"/>
  <c r="B14" i="4"/>
  <c r="B5" i="4"/>
  <c r="A6" i="4"/>
  <c r="A7" i="4"/>
  <c r="A8" i="4"/>
  <c r="A9" i="4"/>
  <c r="A10" i="4"/>
  <c r="A11" i="4"/>
  <c r="A12" i="4"/>
  <c r="A13" i="4"/>
  <c r="A14" i="4"/>
  <c r="A5" i="4"/>
  <c r="C16" i="3"/>
  <c r="C16" i="7" s="1"/>
  <c r="D16" i="3"/>
  <c r="D16" i="7" s="1"/>
  <c r="D31" i="7" s="1"/>
  <c r="C15" i="3"/>
  <c r="C15" i="7" s="1"/>
  <c r="C30" i="7" s="1"/>
  <c r="D15" i="3"/>
  <c r="C14" i="3"/>
  <c r="C14" i="7" s="1"/>
  <c r="C29" i="7" s="1"/>
  <c r="D14" i="3"/>
  <c r="D14" i="7" s="1"/>
  <c r="D29" i="7" s="1"/>
  <c r="C13" i="3"/>
  <c r="C13" i="7" s="1"/>
  <c r="C28" i="7" s="1"/>
  <c r="D13" i="3"/>
  <c r="D13" i="7" s="1"/>
  <c r="D28" i="7" s="1"/>
  <c r="C12" i="3"/>
  <c r="C12" i="7" s="1"/>
  <c r="C27" i="7" s="1"/>
  <c r="D12" i="3"/>
  <c r="A3" i="3"/>
  <c r="A4" i="3" s="1"/>
  <c r="A5" i="3" s="1"/>
  <c r="A6" i="3" s="1"/>
  <c r="A7" i="3" s="1"/>
  <c r="A8" i="3" s="1"/>
  <c r="A9" i="3" s="1"/>
  <c r="A10" i="3" s="1"/>
  <c r="A11" i="3" s="1"/>
  <c r="A12" i="3" s="1"/>
  <c r="D2" i="3"/>
  <c r="D2" i="7" s="1"/>
  <c r="D17" i="7" s="1"/>
  <c r="C2" i="3"/>
  <c r="C2" i="7" s="1"/>
  <c r="C17" i="7" s="1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D2" i="2"/>
  <c r="C2" i="2"/>
  <c r="B3" i="2"/>
  <c r="B4" i="2" s="1"/>
  <c r="B5" i="2" s="1"/>
  <c r="B6" i="2" s="1"/>
  <c r="B7" i="2" s="1"/>
  <c r="B8" i="2" s="1"/>
  <c r="B9" i="2" s="1"/>
  <c r="B10" i="2" s="1"/>
  <c r="B11" i="2" s="1"/>
  <c r="A3" i="2"/>
  <c r="A4" i="2" s="1"/>
  <c r="A5" i="2" s="1"/>
  <c r="A6" i="2" s="1"/>
  <c r="A7" i="2" s="1"/>
  <c r="A8" i="2" s="1"/>
  <c r="A9" i="2" s="1"/>
  <c r="A10" i="2" s="1"/>
  <c r="A11" i="2" s="1"/>
  <c r="G13" i="24" l="1"/>
  <c r="I14" i="24"/>
  <c r="I10" i="24"/>
  <c r="I9" i="24"/>
  <c r="G4" i="24"/>
  <c r="I6" i="24"/>
  <c r="G15" i="24"/>
  <c r="G3" i="24"/>
  <c r="I5" i="24"/>
  <c r="G3" i="17"/>
  <c r="I3" i="17" s="1"/>
  <c r="H3" i="17"/>
  <c r="G13" i="17"/>
  <c r="H13" i="17"/>
  <c r="G8" i="17"/>
  <c r="H8" i="17"/>
  <c r="G11" i="17"/>
  <c r="H11" i="17"/>
  <c r="G5" i="17"/>
  <c r="H10" i="17"/>
  <c r="H5" i="17"/>
  <c r="G16" i="17"/>
  <c r="I11" i="17"/>
  <c r="H16" i="17"/>
  <c r="F6" i="17"/>
  <c r="I6" i="17" s="1"/>
  <c r="G9" i="17"/>
  <c r="I9" i="17" s="1"/>
  <c r="F4" i="17"/>
  <c r="I4" i="17" s="1"/>
  <c r="F12" i="17"/>
  <c r="I12" i="17" s="1"/>
  <c r="F15" i="17"/>
  <c r="I15" i="17" s="1"/>
  <c r="F13" i="17"/>
  <c r="I13" i="17" s="1"/>
  <c r="F14" i="17"/>
  <c r="I14" i="17" s="1"/>
  <c r="G10" i="17"/>
  <c r="I10" i="17" s="1"/>
  <c r="F8" i="17"/>
  <c r="I8" i="17" s="1"/>
  <c r="F16" i="17"/>
  <c r="F7" i="17"/>
  <c r="I7" i="17" s="1"/>
  <c r="F5" i="17"/>
  <c r="C6" i="14"/>
  <c r="G14" i="10"/>
  <c r="G13" i="10"/>
  <c r="G12" i="10"/>
  <c r="H14" i="10" s="1"/>
  <c r="G16" i="10"/>
  <c r="G6" i="10"/>
  <c r="G10" i="10"/>
  <c r="G7" i="10"/>
  <c r="G9" i="10"/>
  <c r="G15" i="10"/>
  <c r="H15" i="10" s="1"/>
  <c r="G8" i="10"/>
  <c r="H10" i="10" s="1"/>
  <c r="D10" i="9"/>
  <c r="D9" i="9"/>
  <c r="C8" i="9"/>
  <c r="D7" i="9"/>
  <c r="D6" i="9"/>
  <c r="Z15" i="7"/>
  <c r="L28" i="7"/>
  <c r="A13" i="3"/>
  <c r="A12" i="7"/>
  <c r="A12" i="6"/>
  <c r="B10" i="5"/>
  <c r="B13" i="4"/>
  <c r="B9" i="5"/>
  <c r="A8" i="6"/>
  <c r="A5" i="7"/>
  <c r="B12" i="4"/>
  <c r="B8" i="5"/>
  <c r="B10" i="4"/>
  <c r="B6" i="5"/>
  <c r="M30" i="7"/>
  <c r="E30" i="7"/>
  <c r="L16" i="7"/>
  <c r="O16" i="7" s="1"/>
  <c r="V30" i="7"/>
  <c r="M31" i="7"/>
  <c r="L30" i="7"/>
  <c r="M29" i="7"/>
  <c r="C31" i="7"/>
  <c r="M28" i="7"/>
  <c r="N28" i="7" s="1"/>
  <c r="F27" i="7"/>
  <c r="G28" i="7"/>
  <c r="E29" i="7"/>
  <c r="E27" i="7"/>
  <c r="L29" i="7"/>
  <c r="M17" i="7"/>
  <c r="O28" i="7"/>
  <c r="G29" i="7"/>
  <c r="G17" i="7"/>
  <c r="F17" i="7"/>
  <c r="L17" i="7"/>
  <c r="O17" i="7" s="1"/>
  <c r="N17" i="7"/>
  <c r="P17" i="7" s="1"/>
  <c r="Q17" i="7" s="1"/>
  <c r="F30" i="7"/>
  <c r="G30" i="7"/>
  <c r="L14" i="7"/>
  <c r="O14" i="7" s="1"/>
  <c r="L13" i="7"/>
  <c r="O13" i="7" s="1"/>
  <c r="E17" i="7"/>
  <c r="G31" i="7"/>
  <c r="B19" i="7"/>
  <c r="F28" i="7"/>
  <c r="F29" i="7"/>
  <c r="B18" i="7"/>
  <c r="F19" i="7" s="1"/>
  <c r="G27" i="7"/>
  <c r="G18" i="7"/>
  <c r="E28" i="7"/>
  <c r="G16" i="7"/>
  <c r="L15" i="7"/>
  <c r="O15" i="7" s="1"/>
  <c r="M16" i="7"/>
  <c r="V16" i="7" s="1"/>
  <c r="E16" i="7"/>
  <c r="M15" i="7"/>
  <c r="F15" i="7"/>
  <c r="M14" i="7"/>
  <c r="V14" i="7" s="1"/>
  <c r="G15" i="7"/>
  <c r="E13" i="7"/>
  <c r="F16" i="7"/>
  <c r="M13" i="7"/>
  <c r="E12" i="7"/>
  <c r="G12" i="7"/>
  <c r="F13" i="7"/>
  <c r="F14" i="7"/>
  <c r="E2" i="7"/>
  <c r="H2" i="7" s="1"/>
  <c r="E15" i="7"/>
  <c r="E14" i="7"/>
  <c r="G14" i="7"/>
  <c r="G13" i="7"/>
  <c r="F12" i="7"/>
  <c r="D3" i="6"/>
  <c r="D4" i="6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C2" i="6"/>
  <c r="E2" i="6" s="1"/>
  <c r="C4" i="5"/>
  <c r="C5" i="5" s="1"/>
  <c r="C6" i="5" s="1"/>
  <c r="C7" i="5" s="1"/>
  <c r="C8" i="5" s="1"/>
  <c r="C9" i="5" s="1"/>
  <c r="C10" i="5" s="1"/>
  <c r="C11" i="5" s="1"/>
  <c r="D4" i="3"/>
  <c r="D4" i="7" s="1"/>
  <c r="D19" i="7" s="1"/>
  <c r="C4" i="3"/>
  <c r="C4" i="7" s="1"/>
  <c r="C19" i="7" s="1"/>
  <c r="E19" i="7" s="1"/>
  <c r="C3" i="3"/>
  <c r="C3" i="7" s="1"/>
  <c r="C18" i="7" s="1"/>
  <c r="L18" i="7" s="1"/>
  <c r="D3" i="3"/>
  <c r="D3" i="7" s="1"/>
  <c r="D18" i="7" s="1"/>
  <c r="M19" i="7" s="1"/>
  <c r="I5" i="17" l="1"/>
  <c r="I16" i="17"/>
  <c r="H9" i="10"/>
  <c r="H16" i="10"/>
  <c r="H8" i="10"/>
  <c r="G11" i="10"/>
  <c r="H13" i="10" s="1"/>
  <c r="H5" i="9"/>
  <c r="E18" i="7"/>
  <c r="G3" i="7"/>
  <c r="F3" i="7"/>
  <c r="F4" i="7"/>
  <c r="E3" i="7"/>
  <c r="L3" i="7"/>
  <c r="O3" i="7" s="1"/>
  <c r="L4" i="7"/>
  <c r="G4" i="7"/>
  <c r="C13" i="4"/>
  <c r="C12" i="4"/>
  <c r="C14" i="4"/>
  <c r="C11" i="4"/>
  <c r="C10" i="4"/>
  <c r="M4" i="7"/>
  <c r="V4" i="7" s="1"/>
  <c r="O18" i="7"/>
  <c r="U30" i="7"/>
  <c r="W30" i="7" s="1"/>
  <c r="X30" i="7" s="1"/>
  <c r="E4" i="7"/>
  <c r="H4" i="7" s="1"/>
  <c r="M18" i="7"/>
  <c r="N18" i="7" s="1"/>
  <c r="P18" i="7" s="1"/>
  <c r="Q18" i="7" s="1"/>
  <c r="M3" i="7"/>
  <c r="V3" i="7" s="1"/>
  <c r="F18" i="7"/>
  <c r="H18" i="7" s="1"/>
  <c r="L19" i="7"/>
  <c r="O19" i="7" s="1"/>
  <c r="A14" i="3"/>
  <c r="A13" i="7"/>
  <c r="A13" i="6"/>
  <c r="N29" i="7"/>
  <c r="O30" i="7"/>
  <c r="N30" i="7"/>
  <c r="P30" i="7" s="1"/>
  <c r="Q30" i="7" s="1"/>
  <c r="O29" i="7"/>
  <c r="V28" i="7"/>
  <c r="U28" i="7"/>
  <c r="W28" i="7" s="1"/>
  <c r="X28" i="7" s="1"/>
  <c r="E31" i="7"/>
  <c r="L31" i="7"/>
  <c r="U31" i="7" s="1"/>
  <c r="F31" i="7"/>
  <c r="H31" i="7" s="1"/>
  <c r="U29" i="7"/>
  <c r="V29" i="7"/>
  <c r="V19" i="7"/>
  <c r="V31" i="7"/>
  <c r="U13" i="7"/>
  <c r="U17" i="7"/>
  <c r="V17" i="7"/>
  <c r="H27" i="7"/>
  <c r="H17" i="7"/>
  <c r="H29" i="7"/>
  <c r="P28" i="7"/>
  <c r="Q28" i="7" s="1"/>
  <c r="U15" i="7"/>
  <c r="W15" i="7" s="1"/>
  <c r="X15" i="7" s="1"/>
  <c r="H30" i="7"/>
  <c r="G19" i="7"/>
  <c r="H19" i="7" s="1"/>
  <c r="H28" i="7"/>
  <c r="N13" i="7"/>
  <c r="P13" i="7" s="1"/>
  <c r="Q13" i="7" s="1"/>
  <c r="U16" i="7"/>
  <c r="W16" i="7" s="1"/>
  <c r="X16" i="7" s="1"/>
  <c r="V13" i="7"/>
  <c r="H16" i="7"/>
  <c r="H13" i="7"/>
  <c r="N15" i="7"/>
  <c r="P15" i="7" s="1"/>
  <c r="Q15" i="7" s="1"/>
  <c r="V15" i="7"/>
  <c r="H15" i="7"/>
  <c r="H3" i="7"/>
  <c r="N14" i="7"/>
  <c r="P14" i="7" s="1"/>
  <c r="Q14" i="7" s="1"/>
  <c r="N16" i="7"/>
  <c r="P16" i="7" s="1"/>
  <c r="Q16" i="7" s="1"/>
  <c r="H12" i="7"/>
  <c r="U14" i="7"/>
  <c r="W14" i="7" s="1"/>
  <c r="X14" i="7" s="1"/>
  <c r="H14" i="7"/>
  <c r="O4" i="7"/>
  <c r="F2" i="6"/>
  <c r="G2" i="6" s="1"/>
  <c r="C3" i="6"/>
  <c r="D5" i="3"/>
  <c r="D5" i="7" s="1"/>
  <c r="C5" i="3"/>
  <c r="C5" i="7" s="1"/>
  <c r="H12" i="10" l="1"/>
  <c r="H11" i="10"/>
  <c r="H6" i="9"/>
  <c r="W31" i="7"/>
  <c r="X31" i="7" s="1"/>
  <c r="U3" i="7"/>
  <c r="W3" i="7" s="1"/>
  <c r="X3" i="7" s="1"/>
  <c r="D20" i="7"/>
  <c r="G5" i="7"/>
  <c r="A15" i="3"/>
  <c r="A14" i="6"/>
  <c r="A14" i="7"/>
  <c r="C20" i="7"/>
  <c r="F5" i="7"/>
  <c r="E5" i="7"/>
  <c r="H5" i="7" s="1"/>
  <c r="L5" i="7"/>
  <c r="N3" i="7"/>
  <c r="P3" i="7" s="1"/>
  <c r="Q3" i="7" s="1"/>
  <c r="M5" i="7"/>
  <c r="U19" i="7"/>
  <c r="W19" i="7" s="1"/>
  <c r="X19" i="7" s="1"/>
  <c r="N4" i="7"/>
  <c r="P4" i="7" s="1"/>
  <c r="Q4" i="7" s="1"/>
  <c r="P29" i="7"/>
  <c r="Q29" i="7" s="1"/>
  <c r="U18" i="7"/>
  <c r="N19" i="7"/>
  <c r="P19" i="7" s="1"/>
  <c r="Q19" i="7" s="1"/>
  <c r="U4" i="7"/>
  <c r="W4" i="7" s="1"/>
  <c r="X4" i="7" s="1"/>
  <c r="V18" i="7"/>
  <c r="W29" i="7"/>
  <c r="X29" i="7" s="1"/>
  <c r="O31" i="7"/>
  <c r="N31" i="7"/>
  <c r="W17" i="7"/>
  <c r="X17" i="7" s="1"/>
  <c r="W13" i="7"/>
  <c r="X13" i="7" s="1"/>
  <c r="E3" i="6"/>
  <c r="C4" i="6"/>
  <c r="D6" i="3"/>
  <c r="D6" i="7" s="1"/>
  <c r="M6" i="7" s="1"/>
  <c r="C6" i="3"/>
  <c r="C6" i="7" s="1"/>
  <c r="H7" i="9" l="1"/>
  <c r="P31" i="7"/>
  <c r="Q31" i="7" s="1"/>
  <c r="W18" i="7"/>
  <c r="X18" i="7" s="1"/>
  <c r="V6" i="7"/>
  <c r="V5" i="7"/>
  <c r="U5" i="7"/>
  <c r="W5" i="7" s="1"/>
  <c r="X5" i="7" s="1"/>
  <c r="N5" i="7"/>
  <c r="O5" i="7"/>
  <c r="A15" i="6"/>
  <c r="A16" i="3"/>
  <c r="A15" i="7"/>
  <c r="L20" i="7"/>
  <c r="E20" i="7"/>
  <c r="F20" i="7"/>
  <c r="C21" i="7"/>
  <c r="E6" i="7"/>
  <c r="L6" i="7"/>
  <c r="F6" i="7"/>
  <c r="D21" i="7"/>
  <c r="G6" i="7"/>
  <c r="M21" i="7"/>
  <c r="M20" i="7"/>
  <c r="V20" i="7" s="1"/>
  <c r="G20" i="7"/>
  <c r="E4" i="6"/>
  <c r="C5" i="6"/>
  <c r="F3" i="6"/>
  <c r="G3" i="6" s="1"/>
  <c r="D7" i="3"/>
  <c r="D7" i="7" s="1"/>
  <c r="C7" i="3"/>
  <c r="C7" i="7" s="1"/>
  <c r="H8" i="9" l="1"/>
  <c r="H6" i="7"/>
  <c r="D22" i="7"/>
  <c r="M22" i="7" s="1"/>
  <c r="G7" i="7"/>
  <c r="U20" i="7"/>
  <c r="W20" i="7" s="1"/>
  <c r="X20" i="7" s="1"/>
  <c r="N20" i="7"/>
  <c r="O20" i="7"/>
  <c r="O6" i="7"/>
  <c r="N6" i="7"/>
  <c r="P6" i="7" s="1"/>
  <c r="Q6" i="7" s="1"/>
  <c r="C22" i="7"/>
  <c r="E7" i="7"/>
  <c r="F7" i="7"/>
  <c r="L7" i="7"/>
  <c r="L21" i="7"/>
  <c r="O21" i="7" s="1"/>
  <c r="E21" i="7"/>
  <c r="F21" i="7"/>
  <c r="H20" i="7"/>
  <c r="A16" i="7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16" i="6"/>
  <c r="P5" i="7"/>
  <c r="Q5" i="7" s="1"/>
  <c r="N21" i="7"/>
  <c r="P21" i="7" s="1"/>
  <c r="Q21" i="7" s="1"/>
  <c r="U21" i="7"/>
  <c r="V21" i="7"/>
  <c r="U6" i="7"/>
  <c r="W6" i="7" s="1"/>
  <c r="X6" i="7" s="1"/>
  <c r="M7" i="7"/>
  <c r="G21" i="7"/>
  <c r="E5" i="6"/>
  <c r="C6" i="6"/>
  <c r="F4" i="6"/>
  <c r="G4" i="6" s="1"/>
  <c r="D8" i="3"/>
  <c r="D8" i="7" s="1"/>
  <c r="M8" i="7" s="1"/>
  <c r="C8" i="3"/>
  <c r="C8" i="7" s="1"/>
  <c r="H9" i="9" l="1"/>
  <c r="P20" i="7"/>
  <c r="Q20" i="7" s="1"/>
  <c r="V22" i="7"/>
  <c r="V8" i="7"/>
  <c r="V7" i="7"/>
  <c r="U7" i="7"/>
  <c r="W7" i="7" s="1"/>
  <c r="X7" i="7" s="1"/>
  <c r="G22" i="7"/>
  <c r="W21" i="7"/>
  <c r="X21" i="7" s="1"/>
  <c r="C23" i="7"/>
  <c r="L8" i="7"/>
  <c r="E8" i="7"/>
  <c r="F8" i="7"/>
  <c r="D23" i="7"/>
  <c r="M23" i="7" s="1"/>
  <c r="G8" i="7"/>
  <c r="H7" i="7"/>
  <c r="L22" i="7"/>
  <c r="U22" i="7" s="1"/>
  <c r="W22" i="7" s="1"/>
  <c r="X22" i="7" s="1"/>
  <c r="E22" i="7"/>
  <c r="F22" i="7"/>
  <c r="H21" i="7"/>
  <c r="N7" i="7"/>
  <c r="O7" i="7"/>
  <c r="E6" i="6"/>
  <c r="C7" i="6"/>
  <c r="F5" i="6"/>
  <c r="G5" i="6" s="1"/>
  <c r="D9" i="3"/>
  <c r="D9" i="7" s="1"/>
  <c r="C9" i="3"/>
  <c r="C9" i="7" s="1"/>
  <c r="H10" i="9" l="1"/>
  <c r="H8" i="7"/>
  <c r="V23" i="7"/>
  <c r="C24" i="7"/>
  <c r="E9" i="7"/>
  <c r="F9" i="7"/>
  <c r="L9" i="7"/>
  <c r="N8" i="7"/>
  <c r="O8" i="7"/>
  <c r="L23" i="7"/>
  <c r="E23" i="7"/>
  <c r="F23" i="7"/>
  <c r="D24" i="7"/>
  <c r="M24" i="7" s="1"/>
  <c r="G9" i="7"/>
  <c r="U8" i="7"/>
  <c r="W8" i="7" s="1"/>
  <c r="X8" i="7" s="1"/>
  <c r="H22" i="7"/>
  <c r="G23" i="7"/>
  <c r="O22" i="7"/>
  <c r="N22" i="7"/>
  <c r="P22" i="7" s="1"/>
  <c r="Q22" i="7" s="1"/>
  <c r="M9" i="7"/>
  <c r="P7" i="7"/>
  <c r="Q7" i="7" s="1"/>
  <c r="C8" i="6"/>
  <c r="E7" i="6"/>
  <c r="F6" i="6"/>
  <c r="G6" i="6" s="1"/>
  <c r="D10" i="3"/>
  <c r="D10" i="7" s="1"/>
  <c r="M10" i="7" s="1"/>
  <c r="C10" i="3"/>
  <c r="C10" i="7" s="1"/>
  <c r="H11" i="9" l="1"/>
  <c r="V10" i="7"/>
  <c r="V24" i="7"/>
  <c r="H9" i="7"/>
  <c r="D25" i="7"/>
  <c r="M25" i="7" s="1"/>
  <c r="G10" i="7"/>
  <c r="P8" i="7"/>
  <c r="Q8" i="7" s="1"/>
  <c r="V9" i="7"/>
  <c r="U9" i="7"/>
  <c r="W9" i="7" s="1"/>
  <c r="X9" i="7" s="1"/>
  <c r="L24" i="7"/>
  <c r="U24" i="7" s="1"/>
  <c r="E24" i="7"/>
  <c r="F24" i="7"/>
  <c r="L10" i="7"/>
  <c r="U10" i="7" s="1"/>
  <c r="W10" i="7" s="1"/>
  <c r="X10" i="7" s="1"/>
  <c r="F10" i="7"/>
  <c r="E10" i="7"/>
  <c r="C25" i="7"/>
  <c r="H23" i="7"/>
  <c r="N9" i="7"/>
  <c r="O9" i="7"/>
  <c r="G24" i="7"/>
  <c r="O23" i="7"/>
  <c r="N23" i="7"/>
  <c r="U23" i="7"/>
  <c r="W23" i="7" s="1"/>
  <c r="X23" i="7" s="1"/>
  <c r="F7" i="6"/>
  <c r="C9" i="6"/>
  <c r="E8" i="6"/>
  <c r="D11" i="3"/>
  <c r="D11" i="7" s="1"/>
  <c r="M11" i="7" s="1"/>
  <c r="C11" i="3"/>
  <c r="C11" i="7" s="1"/>
  <c r="H12" i="9" l="1"/>
  <c r="P23" i="7"/>
  <c r="Q23" i="7" s="1"/>
  <c r="P9" i="7"/>
  <c r="Q9" i="7" s="1"/>
  <c r="V25" i="7"/>
  <c r="V11" i="7"/>
  <c r="O24" i="7"/>
  <c r="N24" i="7"/>
  <c r="C26" i="7"/>
  <c r="L11" i="7"/>
  <c r="E11" i="7"/>
  <c r="L12" i="7"/>
  <c r="F11" i="7"/>
  <c r="W24" i="7"/>
  <c r="X24" i="7" s="1"/>
  <c r="G25" i="7"/>
  <c r="D26" i="7"/>
  <c r="M26" i="7" s="1"/>
  <c r="G11" i="7"/>
  <c r="M12" i="7"/>
  <c r="O10" i="7"/>
  <c r="N10" i="7"/>
  <c r="P10" i="7" s="1"/>
  <c r="Q10" i="7" s="1"/>
  <c r="E25" i="7"/>
  <c r="F25" i="7"/>
  <c r="L25" i="7"/>
  <c r="U25" i="7" s="1"/>
  <c r="H10" i="7"/>
  <c r="F8" i="6"/>
  <c r="H24" i="7"/>
  <c r="G8" i="6"/>
  <c r="C10" i="6"/>
  <c r="E9" i="6"/>
  <c r="G7" i="6"/>
  <c r="H13" i="9" l="1"/>
  <c r="W25" i="7"/>
  <c r="X25" i="7" s="1"/>
  <c r="V26" i="7"/>
  <c r="O25" i="7"/>
  <c r="N25" i="7"/>
  <c r="P25" i="7" s="1"/>
  <c r="Q25" i="7" s="1"/>
  <c r="H25" i="7"/>
  <c r="V12" i="7"/>
  <c r="U12" i="7"/>
  <c r="W12" i="7" s="1"/>
  <c r="X12" i="7" s="1"/>
  <c r="L27" i="7"/>
  <c r="F26" i="7"/>
  <c r="L26" i="7"/>
  <c r="U26" i="7" s="1"/>
  <c r="W26" i="7" s="1"/>
  <c r="X26" i="7" s="1"/>
  <c r="E26" i="7"/>
  <c r="G26" i="7"/>
  <c r="M27" i="7"/>
  <c r="P24" i="7"/>
  <c r="Q24" i="7" s="1"/>
  <c r="N12" i="7"/>
  <c r="O12" i="7"/>
  <c r="H11" i="7"/>
  <c r="N11" i="7"/>
  <c r="O11" i="7"/>
  <c r="U11" i="7"/>
  <c r="W11" i="7" s="1"/>
  <c r="X11" i="7" s="1"/>
  <c r="C11" i="6"/>
  <c r="E10" i="6"/>
  <c r="F9" i="6"/>
  <c r="F10" i="6" s="1"/>
  <c r="H14" i="9" l="1"/>
  <c r="I20" i="7"/>
  <c r="J20" i="7" s="1"/>
  <c r="I16" i="7"/>
  <c r="J16" i="7" s="1"/>
  <c r="J15" i="7"/>
  <c r="P11" i="7"/>
  <c r="Q11" i="7" s="1"/>
  <c r="O26" i="7"/>
  <c r="N26" i="7"/>
  <c r="P26" i="7" s="1"/>
  <c r="Q26" i="7" s="1"/>
  <c r="R26" i="7" s="1"/>
  <c r="S26" i="7" s="1"/>
  <c r="Y25" i="7"/>
  <c r="I22" i="7"/>
  <c r="J22" i="7" s="1"/>
  <c r="I19" i="7"/>
  <c r="J19" i="7" s="1"/>
  <c r="I18" i="7"/>
  <c r="J18" i="7" s="1"/>
  <c r="U27" i="7"/>
  <c r="V27" i="7"/>
  <c r="H26" i="7"/>
  <c r="I29" i="7" s="1"/>
  <c r="J29" i="7" s="1"/>
  <c r="O27" i="7"/>
  <c r="N27" i="7"/>
  <c r="P27" i="7" s="1"/>
  <c r="Q27" i="7" s="1"/>
  <c r="R29" i="7" s="1"/>
  <c r="Y24" i="7"/>
  <c r="AC24" i="7" s="1"/>
  <c r="Y22" i="7"/>
  <c r="Y16" i="7"/>
  <c r="Y17" i="7"/>
  <c r="Y18" i="7"/>
  <c r="Y19" i="7"/>
  <c r="Y21" i="7"/>
  <c r="Y20" i="7"/>
  <c r="AC20" i="7" s="1"/>
  <c r="Y23" i="7"/>
  <c r="I17" i="7"/>
  <c r="J17" i="7" s="1"/>
  <c r="I21" i="7"/>
  <c r="J21" i="7" s="1"/>
  <c r="I23" i="7"/>
  <c r="J23" i="7" s="1"/>
  <c r="Y26" i="7"/>
  <c r="P12" i="7"/>
  <c r="Q12" i="7" s="1"/>
  <c r="I24" i="7"/>
  <c r="J24" i="7" s="1"/>
  <c r="I25" i="7"/>
  <c r="J25" i="7" s="1"/>
  <c r="G10" i="6"/>
  <c r="G9" i="6"/>
  <c r="C12" i="6"/>
  <c r="E11" i="6"/>
  <c r="H16" i="9" l="1"/>
  <c r="H15" i="9"/>
  <c r="AB29" i="7"/>
  <c r="S29" i="7"/>
  <c r="S16" i="7"/>
  <c r="AB16" i="7"/>
  <c r="AC25" i="7"/>
  <c r="I30" i="7"/>
  <c r="J30" i="7" s="1"/>
  <c r="R22" i="7"/>
  <c r="AC19" i="7"/>
  <c r="R28" i="7"/>
  <c r="S28" i="7" s="1"/>
  <c r="R27" i="7"/>
  <c r="S27" i="7" s="1"/>
  <c r="W27" i="7"/>
  <c r="X27" i="7" s="1"/>
  <c r="I27" i="7"/>
  <c r="AC18" i="7"/>
  <c r="AC17" i="7"/>
  <c r="I31" i="7"/>
  <c r="J31" i="7" s="1"/>
  <c r="I26" i="7"/>
  <c r="R30" i="7"/>
  <c r="R25" i="7"/>
  <c r="R18" i="7"/>
  <c r="AC23" i="7"/>
  <c r="AC16" i="7"/>
  <c r="R20" i="7"/>
  <c r="R31" i="7"/>
  <c r="S31" i="7" s="1"/>
  <c r="R21" i="7"/>
  <c r="R19" i="7"/>
  <c r="R24" i="7"/>
  <c r="I28" i="7"/>
  <c r="J28" i="7" s="1"/>
  <c r="AC21" i="7"/>
  <c r="AC22" i="7"/>
  <c r="R23" i="7"/>
  <c r="C13" i="6"/>
  <c r="E12" i="6"/>
  <c r="F11" i="6"/>
  <c r="AB18" i="7" l="1"/>
  <c r="AE18" i="7" s="1"/>
  <c r="S18" i="7"/>
  <c r="AB25" i="7"/>
  <c r="S25" i="7"/>
  <c r="AB23" i="7"/>
  <c r="AE23" i="7" s="1"/>
  <c r="S23" i="7"/>
  <c r="AB30" i="7"/>
  <c r="S30" i="7"/>
  <c r="AB20" i="7"/>
  <c r="AE20" i="7" s="1"/>
  <c r="S20" i="7"/>
  <c r="AB17" i="7"/>
  <c r="AE17" i="7" s="1"/>
  <c r="S17" i="7"/>
  <c r="AB22" i="7"/>
  <c r="AD22" i="7" s="1"/>
  <c r="S22" i="7"/>
  <c r="AB24" i="7"/>
  <c r="AE24" i="7" s="1"/>
  <c r="S24" i="7"/>
  <c r="AB19" i="7"/>
  <c r="AD19" i="7" s="1"/>
  <c r="S19" i="7"/>
  <c r="AB21" i="7"/>
  <c r="AE21" i="7" s="1"/>
  <c r="S21" i="7"/>
  <c r="AB26" i="7"/>
  <c r="J26" i="7"/>
  <c r="AB27" i="7"/>
  <c r="J27" i="7"/>
  <c r="AE16" i="7"/>
  <c r="AB31" i="7"/>
  <c r="AD16" i="7"/>
  <c r="AF16" i="7" s="1"/>
  <c r="F12" i="6"/>
  <c r="G12" i="6" s="1"/>
  <c r="AC26" i="7"/>
  <c r="AD18" i="7"/>
  <c r="AF18" i="7" s="1"/>
  <c r="AE22" i="7"/>
  <c r="AD25" i="7"/>
  <c r="AE25" i="7"/>
  <c r="Y31" i="7"/>
  <c r="AC31" i="7" s="1"/>
  <c r="Y28" i="7"/>
  <c r="AC28" i="7" s="1"/>
  <c r="Y30" i="7"/>
  <c r="AC30" i="7" s="1"/>
  <c r="AE30" i="7" s="1"/>
  <c r="Y27" i="7"/>
  <c r="AC27" i="7" s="1"/>
  <c r="AE27" i="7" s="1"/>
  <c r="Y29" i="7"/>
  <c r="AC29" i="7" s="1"/>
  <c r="AB28" i="7"/>
  <c r="E13" i="6"/>
  <c r="C14" i="6"/>
  <c r="G11" i="6"/>
  <c r="AD21" i="7" l="1"/>
  <c r="AE19" i="7"/>
  <c r="AE26" i="7"/>
  <c r="AD17" i="7"/>
  <c r="AD23" i="7"/>
  <c r="AF23" i="7" s="1"/>
  <c r="AD27" i="7"/>
  <c r="AD30" i="7"/>
  <c r="AD24" i="7"/>
  <c r="AD20" i="7"/>
  <c r="AF17" i="7"/>
  <c r="AD31" i="7"/>
  <c r="AF25" i="7"/>
  <c r="AE28" i="7"/>
  <c r="AF27" i="7"/>
  <c r="AF19" i="7"/>
  <c r="AF30" i="7"/>
  <c r="AD26" i="7"/>
  <c r="AF26" i="7" s="1"/>
  <c r="AE31" i="7"/>
  <c r="AF31" i="7" s="1"/>
  <c r="AF21" i="7"/>
  <c r="AE29" i="7"/>
  <c r="AD29" i="7"/>
  <c r="AF29" i="7" s="1"/>
  <c r="AF24" i="7"/>
  <c r="AF22" i="7"/>
  <c r="AF20" i="7"/>
  <c r="AD28" i="7"/>
  <c r="E14" i="6"/>
  <c r="C15" i="6"/>
  <c r="F13" i="6"/>
  <c r="F14" i="6" s="1"/>
  <c r="AF28" i="7" l="1"/>
  <c r="AG30" i="7" s="1"/>
  <c r="AG31" i="7"/>
  <c r="C16" i="6"/>
  <c r="E16" i="6" s="1"/>
  <c r="E15" i="6"/>
  <c r="F15" i="6"/>
  <c r="F16" i="6" s="1"/>
  <c r="G13" i="6"/>
  <c r="G14" i="6"/>
  <c r="AG29" i="7" l="1"/>
  <c r="G15" i="6"/>
  <c r="G16" i="6"/>
</calcChain>
</file>

<file path=xl/sharedStrings.xml><?xml version="1.0" encoding="utf-8"?>
<sst xmlns="http://schemas.openxmlformats.org/spreadsheetml/2006/main" count="143" uniqueCount="87">
  <si>
    <t>close</t>
  </si>
  <si>
    <t>high</t>
  </si>
  <si>
    <t>low</t>
  </si>
  <si>
    <t>sma_5</t>
  </si>
  <si>
    <t>alpha</t>
  </si>
  <si>
    <t>span</t>
  </si>
  <si>
    <t>ewm_3</t>
  </si>
  <si>
    <t>EWM_t = alpha * Price_t + (1 - alpha) * EWM_{t-1}</t>
  </si>
  <si>
    <t>ema_12</t>
  </si>
  <si>
    <t>ema_26</t>
  </si>
  <si>
    <t>macd_line</t>
  </si>
  <si>
    <t>signal_line</t>
  </si>
  <si>
    <t>hist</t>
  </si>
  <si>
    <t>high-low</t>
  </si>
  <si>
    <t>abs(high-prev_close)</t>
  </si>
  <si>
    <t>up_move</t>
  </si>
  <si>
    <t>down_move</t>
  </si>
  <si>
    <t>tr = max()</t>
  </si>
  <si>
    <t>up_move &gt; down_move</t>
  </si>
  <si>
    <t>up_move &gt; 0</t>
  </si>
  <si>
    <t>and</t>
  </si>
  <si>
    <t>down_move &gt; up_move</t>
  </si>
  <si>
    <t>down_move &gt; 0</t>
  </si>
  <si>
    <t>+DM14</t>
  </si>
  <si>
    <t>+DM1</t>
  </si>
  <si>
    <t>tr14</t>
  </si>
  <si>
    <t>-DM1</t>
  </si>
  <si>
    <t>-DM14</t>
  </si>
  <si>
    <t>+DI</t>
  </si>
  <si>
    <t>-DI</t>
  </si>
  <si>
    <t>+DI - -DI</t>
  </si>
  <si>
    <t>dx</t>
  </si>
  <si>
    <t>adx</t>
  </si>
  <si>
    <t>+DX + -DI</t>
  </si>
  <si>
    <t>correct</t>
  </si>
  <si>
    <t>abs(low-prev_close)</t>
  </si>
  <si>
    <t>tr14.sum()</t>
  </si>
  <si>
    <t>+DM14.sum()</t>
  </si>
  <si>
    <t>-DM14.sum()</t>
  </si>
  <si>
    <t>gains</t>
  </si>
  <si>
    <t>loss</t>
  </si>
  <si>
    <t>avg gain</t>
  </si>
  <si>
    <t>avg loss</t>
  </si>
  <si>
    <t>rs</t>
  </si>
  <si>
    <t>rsi</t>
  </si>
  <si>
    <t>inf</t>
  </si>
  <si>
    <t>k%</t>
  </si>
  <si>
    <t>d%</t>
  </si>
  <si>
    <t>high_5</t>
  </si>
  <si>
    <t>low_5</t>
  </si>
  <si>
    <t>tp</t>
  </si>
  <si>
    <t>ma</t>
  </si>
  <si>
    <t>md</t>
  </si>
  <si>
    <t>cci</t>
  </si>
  <si>
    <t>shift(4)</t>
  </si>
  <si>
    <t>momentum</t>
  </si>
  <si>
    <t>daily_return</t>
  </si>
  <si>
    <t>cum_return</t>
  </si>
  <si>
    <t>stddev</t>
  </si>
  <si>
    <t>num_std</t>
  </si>
  <si>
    <t>upper</t>
  </si>
  <si>
    <t>lower</t>
  </si>
  <si>
    <t>sma (mid)</t>
  </si>
  <si>
    <t>prev_close</t>
  </si>
  <si>
    <t>high-prev_close</t>
  </si>
  <si>
    <t>low - prev_close</t>
  </si>
  <si>
    <t>tr</t>
  </si>
  <si>
    <t>atr_5</t>
  </si>
  <si>
    <t>stddev_5</t>
  </si>
  <si>
    <t>volume</t>
  </si>
  <si>
    <t>vsma_5</t>
  </si>
  <si>
    <t>vewm_5</t>
  </si>
  <si>
    <t>pct_change</t>
  </si>
  <si>
    <t>pct_change x volume</t>
  </si>
  <si>
    <t>pvt</t>
  </si>
  <si>
    <t>diff</t>
  </si>
  <si>
    <t>direction</t>
  </si>
  <si>
    <t>volume x direction</t>
  </si>
  <si>
    <t>obv</t>
  </si>
  <si>
    <t>denom</t>
  </si>
  <si>
    <t>close-low</t>
  </si>
  <si>
    <t>high-close</t>
  </si>
  <si>
    <t>clv</t>
  </si>
  <si>
    <t>clv x volume</t>
  </si>
  <si>
    <t>cmf_5</t>
  </si>
  <si>
    <t>avg clv x vol</t>
  </si>
  <si>
    <t>avg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</si>
</sst>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000"/>
    <numFmt numFmtId="166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quotePrefix="1" applyFill="1" applyAlignment="1">
      <alignment horizontal="center"/>
    </xf>
    <xf numFmtId="0" fontId="0" fillId="34" borderId="0" xfId="0" applyFill="1" applyAlignment="1">
      <alignment horizontal="center"/>
    </xf>
    <xf numFmtId="166" fontId="0" fillId="0" borderId="0" xfId="0" quotePrefix="1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33" borderId="0" xfId="0" applyNumberFormat="1" applyFill="1" applyAlignment="1">
      <alignment horizontal="center"/>
    </xf>
    <xf numFmtId="166" fontId="0" fillId="0" borderId="0" xfId="0" applyNumberFormat="1"/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D215-17A3-4C6A-9C0B-67E7F3EEDF03}">
  <dimension ref="A1:E11"/>
  <sheetViews>
    <sheetView zoomScale="145" zoomScaleNormal="145" workbookViewId="0">
      <selection activeCell="E2" sqref="E2"/>
    </sheetView>
  </sheetViews>
  <sheetFormatPr defaultRowHeight="15" x14ac:dyDescent="0.25"/>
  <cols>
    <col min="1" max="1" width="13.28515625" customWidth="1"/>
    <col min="2" max="5" width="9.140625" style="2"/>
  </cols>
  <sheetData>
    <row r="1" spans="1:5" x14ac:dyDescent="0.25">
      <c r="B1" s="2" t="s">
        <v>0</v>
      </c>
      <c r="C1" s="2" t="s">
        <v>1</v>
      </c>
      <c r="D1" s="2" t="s">
        <v>2</v>
      </c>
      <c r="E1" s="2" t="s">
        <v>69</v>
      </c>
    </row>
    <row r="2" spans="1:5" x14ac:dyDescent="0.25">
      <c r="A2" s="1">
        <v>45292</v>
      </c>
      <c r="B2" s="2">
        <v>100</v>
      </c>
      <c r="C2" s="2">
        <f>B2+1</f>
        <v>101</v>
      </c>
      <c r="D2" s="2">
        <f>B2-1</f>
        <v>99</v>
      </c>
      <c r="E2" s="2">
        <v>1000</v>
      </c>
    </row>
    <row r="3" spans="1:5" x14ac:dyDescent="0.25">
      <c r="A3" s="1">
        <f>A2+1</f>
        <v>45293</v>
      </c>
      <c r="B3" s="2">
        <f>B2+1</f>
        <v>101</v>
      </c>
      <c r="C3" s="2">
        <f t="shared" ref="C3:C11" si="0">B3+1</f>
        <v>102</v>
      </c>
      <c r="D3" s="2">
        <f t="shared" ref="D3:D11" si="1">B3-1</f>
        <v>100</v>
      </c>
      <c r="E3" s="2">
        <v>1010</v>
      </c>
    </row>
    <row r="4" spans="1:5" x14ac:dyDescent="0.25">
      <c r="A4" s="1">
        <f t="shared" ref="A4:A11" si="2">A3+1</f>
        <v>45294</v>
      </c>
      <c r="B4" s="2">
        <f t="shared" ref="B4:B11" si="3">B3+1</f>
        <v>102</v>
      </c>
      <c r="C4" s="2">
        <f t="shared" si="0"/>
        <v>103</v>
      </c>
      <c r="D4" s="2">
        <f t="shared" si="1"/>
        <v>101</v>
      </c>
      <c r="E4" s="2">
        <v>1020</v>
      </c>
    </row>
    <row r="5" spans="1:5" x14ac:dyDescent="0.25">
      <c r="A5" s="1">
        <f t="shared" si="2"/>
        <v>45295</v>
      </c>
      <c r="B5" s="2">
        <f t="shared" si="3"/>
        <v>103</v>
      </c>
      <c r="C5" s="2">
        <f t="shared" si="0"/>
        <v>104</v>
      </c>
      <c r="D5" s="2">
        <f t="shared" si="1"/>
        <v>102</v>
      </c>
      <c r="E5" s="2">
        <v>1030</v>
      </c>
    </row>
    <row r="6" spans="1:5" x14ac:dyDescent="0.25">
      <c r="A6" s="1">
        <f t="shared" si="2"/>
        <v>45296</v>
      </c>
      <c r="B6" s="2">
        <f t="shared" si="3"/>
        <v>104</v>
      </c>
      <c r="C6" s="2">
        <f t="shared" si="0"/>
        <v>105</v>
      </c>
      <c r="D6" s="2">
        <f t="shared" si="1"/>
        <v>103</v>
      </c>
      <c r="E6" s="2">
        <v>1040</v>
      </c>
    </row>
    <row r="7" spans="1:5" x14ac:dyDescent="0.25">
      <c r="A7" s="1">
        <f t="shared" si="2"/>
        <v>45297</v>
      </c>
      <c r="B7" s="2">
        <f t="shared" si="3"/>
        <v>105</v>
      </c>
      <c r="C7" s="2">
        <f t="shared" si="0"/>
        <v>106</v>
      </c>
      <c r="D7" s="2">
        <f t="shared" si="1"/>
        <v>104</v>
      </c>
      <c r="E7" s="2">
        <v>1050</v>
      </c>
    </row>
    <row r="8" spans="1:5" x14ac:dyDescent="0.25">
      <c r="A8" s="1">
        <f t="shared" si="2"/>
        <v>45298</v>
      </c>
      <c r="B8" s="2">
        <f t="shared" si="3"/>
        <v>106</v>
      </c>
      <c r="C8" s="2">
        <f t="shared" si="0"/>
        <v>107</v>
      </c>
      <c r="D8" s="2">
        <f t="shared" si="1"/>
        <v>105</v>
      </c>
      <c r="E8" s="2">
        <v>1060</v>
      </c>
    </row>
    <row r="9" spans="1:5" x14ac:dyDescent="0.25">
      <c r="A9" s="1">
        <f t="shared" si="2"/>
        <v>45299</v>
      </c>
      <c r="B9" s="2">
        <f t="shared" si="3"/>
        <v>107</v>
      </c>
      <c r="C9" s="2">
        <f t="shared" si="0"/>
        <v>108</v>
      </c>
      <c r="D9" s="2">
        <f t="shared" si="1"/>
        <v>106</v>
      </c>
      <c r="E9" s="2">
        <v>1070</v>
      </c>
    </row>
    <row r="10" spans="1:5" x14ac:dyDescent="0.25">
      <c r="A10" s="1">
        <f t="shared" si="2"/>
        <v>45300</v>
      </c>
      <c r="B10" s="2">
        <f t="shared" si="3"/>
        <v>108</v>
      </c>
      <c r="C10" s="2">
        <f t="shared" si="0"/>
        <v>109</v>
      </c>
      <c r="D10" s="2">
        <f t="shared" si="1"/>
        <v>107</v>
      </c>
      <c r="E10" s="2">
        <v>1080</v>
      </c>
    </row>
    <row r="11" spans="1:5" x14ac:dyDescent="0.25">
      <c r="A11" s="1">
        <f t="shared" si="2"/>
        <v>45301</v>
      </c>
      <c r="B11" s="2">
        <f t="shared" si="3"/>
        <v>109</v>
      </c>
      <c r="C11" s="2">
        <f t="shared" si="0"/>
        <v>110</v>
      </c>
      <c r="D11" s="2">
        <f t="shared" si="1"/>
        <v>108</v>
      </c>
      <c r="E11" s="2">
        <v>1090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8542-02E7-454D-981F-D0359D64C521}">
  <dimension ref="A1:E16"/>
  <sheetViews>
    <sheetView zoomScale="130" zoomScaleNormal="130" workbookViewId="0">
      <selection sqref="A1:E16"/>
    </sheetView>
  </sheetViews>
  <sheetFormatPr defaultRowHeight="15" x14ac:dyDescent="0.25"/>
  <cols>
    <col min="1" max="1" width="10.42578125" customWidth="1"/>
    <col min="5" max="5" width="9.140625" style="2"/>
  </cols>
  <sheetData>
    <row r="1" spans="1:5" x14ac:dyDescent="0.25">
      <c r="B1" s="2" t="s">
        <v>0</v>
      </c>
      <c r="C1" s="2" t="s">
        <v>1</v>
      </c>
      <c r="D1" s="2" t="s">
        <v>2</v>
      </c>
      <c r="E1" s="2" t="s">
        <v>69</v>
      </c>
    </row>
    <row r="2" spans="1:5" x14ac:dyDescent="0.25">
      <c r="A2" s="1">
        <v>45292</v>
      </c>
      <c r="B2" s="2">
        <v>100</v>
      </c>
      <c r="C2" s="2">
        <f>B2+1</f>
        <v>101</v>
      </c>
      <c r="D2" s="2">
        <f>B2-1</f>
        <v>99</v>
      </c>
      <c r="E2" s="2">
        <v>1000</v>
      </c>
    </row>
    <row r="3" spans="1:5" x14ac:dyDescent="0.25">
      <c r="A3" s="1">
        <f>A2+1</f>
        <v>45293</v>
      </c>
      <c r="B3" s="2">
        <v>102</v>
      </c>
      <c r="C3" s="2">
        <f t="shared" ref="C3:C16" si="0">B3+1</f>
        <v>103</v>
      </c>
      <c r="D3" s="2">
        <f t="shared" ref="D3:D16" si="1">B3-1</f>
        <v>101</v>
      </c>
      <c r="E3" s="2">
        <v>950</v>
      </c>
    </row>
    <row r="4" spans="1:5" x14ac:dyDescent="0.25">
      <c r="A4" s="1">
        <f t="shared" ref="A4:A16" si="2">A3+1</f>
        <v>45294</v>
      </c>
      <c r="B4" s="2">
        <v>101</v>
      </c>
      <c r="C4" s="2">
        <f t="shared" si="0"/>
        <v>102</v>
      </c>
      <c r="D4" s="2">
        <f t="shared" si="1"/>
        <v>100</v>
      </c>
      <c r="E4" s="2">
        <v>990</v>
      </c>
    </row>
    <row r="5" spans="1:5" x14ac:dyDescent="0.25">
      <c r="A5" s="1">
        <f t="shared" si="2"/>
        <v>45295</v>
      </c>
      <c r="B5" s="2">
        <v>103</v>
      </c>
      <c r="C5" s="2">
        <f t="shared" si="0"/>
        <v>104</v>
      </c>
      <c r="D5" s="2">
        <f t="shared" si="1"/>
        <v>102</v>
      </c>
      <c r="E5" s="2">
        <v>1020</v>
      </c>
    </row>
    <row r="6" spans="1:5" x14ac:dyDescent="0.25">
      <c r="A6" s="1">
        <f t="shared" si="2"/>
        <v>45296</v>
      </c>
      <c r="B6" s="2">
        <v>102</v>
      </c>
      <c r="C6" s="2">
        <f t="shared" si="0"/>
        <v>103</v>
      </c>
      <c r="D6" s="2">
        <f t="shared" si="1"/>
        <v>101</v>
      </c>
      <c r="E6" s="2">
        <v>1100</v>
      </c>
    </row>
    <row r="7" spans="1:5" x14ac:dyDescent="0.25">
      <c r="A7" s="1">
        <f t="shared" si="2"/>
        <v>45297</v>
      </c>
      <c r="B7" s="2">
        <v>104</v>
      </c>
      <c r="C7" s="2">
        <f t="shared" si="0"/>
        <v>105</v>
      </c>
      <c r="D7" s="2">
        <f t="shared" si="1"/>
        <v>103</v>
      </c>
      <c r="E7" s="2">
        <v>900</v>
      </c>
    </row>
    <row r="8" spans="1:5" x14ac:dyDescent="0.25">
      <c r="A8" s="1">
        <f t="shared" si="2"/>
        <v>45298</v>
      </c>
      <c r="B8" s="2">
        <v>106</v>
      </c>
      <c r="C8" s="2">
        <f t="shared" si="0"/>
        <v>107</v>
      </c>
      <c r="D8" s="2">
        <f t="shared" si="1"/>
        <v>105</v>
      </c>
      <c r="E8" s="2">
        <v>980</v>
      </c>
    </row>
    <row r="9" spans="1:5" x14ac:dyDescent="0.25">
      <c r="A9" s="1">
        <f t="shared" si="2"/>
        <v>45299</v>
      </c>
      <c r="B9" s="2">
        <v>105</v>
      </c>
      <c r="C9" s="2">
        <f t="shared" si="0"/>
        <v>106</v>
      </c>
      <c r="D9" s="2">
        <f t="shared" si="1"/>
        <v>104</v>
      </c>
      <c r="E9" s="2">
        <v>1030</v>
      </c>
    </row>
    <row r="10" spans="1:5" x14ac:dyDescent="0.25">
      <c r="A10" s="1">
        <f t="shared" si="2"/>
        <v>45300</v>
      </c>
      <c r="B10" s="2">
        <v>107</v>
      </c>
      <c r="C10" s="2">
        <f t="shared" si="0"/>
        <v>108</v>
      </c>
      <c r="D10" s="2">
        <f t="shared" si="1"/>
        <v>106</v>
      </c>
      <c r="E10" s="2">
        <v>1100</v>
      </c>
    </row>
    <row r="11" spans="1:5" x14ac:dyDescent="0.25">
      <c r="A11" s="1">
        <f t="shared" si="2"/>
        <v>45301</v>
      </c>
      <c r="B11" s="2">
        <v>108</v>
      </c>
      <c r="C11" s="2">
        <f t="shared" si="0"/>
        <v>109</v>
      </c>
      <c r="D11" s="2">
        <f t="shared" si="1"/>
        <v>107</v>
      </c>
      <c r="E11" s="2">
        <v>1080</v>
      </c>
    </row>
    <row r="12" spans="1:5" x14ac:dyDescent="0.25">
      <c r="A12" s="1">
        <f t="shared" si="2"/>
        <v>45302</v>
      </c>
      <c r="B12" s="2">
        <v>110</v>
      </c>
      <c r="C12" s="2">
        <f t="shared" si="0"/>
        <v>111</v>
      </c>
      <c r="D12" s="2">
        <f t="shared" si="1"/>
        <v>109</v>
      </c>
      <c r="E12" s="2">
        <v>975</v>
      </c>
    </row>
    <row r="13" spans="1:5" x14ac:dyDescent="0.25">
      <c r="A13" s="1">
        <f t="shared" si="2"/>
        <v>45303</v>
      </c>
      <c r="B13" s="2">
        <v>109</v>
      </c>
      <c r="C13" s="2">
        <f t="shared" si="0"/>
        <v>110</v>
      </c>
      <c r="D13" s="2">
        <f t="shared" si="1"/>
        <v>108</v>
      </c>
      <c r="E13" s="2">
        <v>1010</v>
      </c>
    </row>
    <row r="14" spans="1:5" x14ac:dyDescent="0.25">
      <c r="A14" s="1">
        <f t="shared" si="2"/>
        <v>45304</v>
      </c>
      <c r="B14" s="2">
        <v>111</v>
      </c>
      <c r="C14" s="2">
        <f t="shared" si="0"/>
        <v>112</v>
      </c>
      <c r="D14" s="2">
        <f t="shared" si="1"/>
        <v>110</v>
      </c>
      <c r="E14" s="2">
        <v>1110</v>
      </c>
    </row>
    <row r="15" spans="1:5" x14ac:dyDescent="0.25">
      <c r="A15" s="1">
        <f t="shared" si="2"/>
        <v>45305</v>
      </c>
      <c r="B15" s="2">
        <v>112</v>
      </c>
      <c r="C15" s="2">
        <f t="shared" si="0"/>
        <v>113</v>
      </c>
      <c r="D15" s="2">
        <f t="shared" si="1"/>
        <v>111</v>
      </c>
      <c r="E15" s="2">
        <v>1050</v>
      </c>
    </row>
    <row r="16" spans="1:5" x14ac:dyDescent="0.25">
      <c r="A16" s="1">
        <f t="shared" si="2"/>
        <v>45306</v>
      </c>
      <c r="B16" s="2">
        <v>113</v>
      </c>
      <c r="C16" s="2">
        <f t="shared" si="0"/>
        <v>114</v>
      </c>
      <c r="D16" s="2">
        <f t="shared" si="1"/>
        <v>112</v>
      </c>
      <c r="E16" s="2">
        <v>1130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A6C4-D20F-4DC0-8158-C55911D6D335}">
  <dimension ref="A1:C16"/>
  <sheetViews>
    <sheetView zoomScale="130" zoomScaleNormal="130" workbookViewId="0">
      <selection activeCell="C1" sqref="C1"/>
    </sheetView>
  </sheetViews>
  <sheetFormatPr defaultRowHeight="15" x14ac:dyDescent="0.25"/>
  <cols>
    <col min="1" max="1" width="10" bestFit="1" customWidth="1"/>
  </cols>
  <sheetData>
    <row r="1" spans="1:3" x14ac:dyDescent="0.25">
      <c r="B1" s="2" t="s">
        <v>0</v>
      </c>
      <c r="C1" s="2" t="s">
        <v>69</v>
      </c>
    </row>
    <row r="2" spans="1:3" x14ac:dyDescent="0.25">
      <c r="A2" s="1">
        <v>45292</v>
      </c>
      <c r="B2" s="2">
        <v>100</v>
      </c>
      <c r="C2" s="2">
        <v>2000</v>
      </c>
    </row>
    <row r="3" spans="1:3" x14ac:dyDescent="0.25">
      <c r="A3" s="1">
        <f>A2+1</f>
        <v>45293</v>
      </c>
      <c r="B3" s="2">
        <v>101</v>
      </c>
      <c r="C3" s="2">
        <v>1950</v>
      </c>
    </row>
    <row r="4" spans="1:3" x14ac:dyDescent="0.25">
      <c r="A4" s="1">
        <f t="shared" ref="A4:A16" si="0">A3+1</f>
        <v>45294</v>
      </c>
      <c r="B4" s="2">
        <v>102</v>
      </c>
      <c r="C4" s="2">
        <v>1990</v>
      </c>
    </row>
    <row r="5" spans="1:3" x14ac:dyDescent="0.25">
      <c r="A5" s="1">
        <f t="shared" si="0"/>
        <v>45295</v>
      </c>
      <c r="B5" s="2">
        <v>101</v>
      </c>
      <c r="C5" s="2">
        <v>2020</v>
      </c>
    </row>
    <row r="6" spans="1:3" x14ac:dyDescent="0.25">
      <c r="A6" s="1">
        <f t="shared" si="0"/>
        <v>45296</v>
      </c>
      <c r="B6" s="2">
        <v>102</v>
      </c>
      <c r="C6" s="2">
        <v>2100</v>
      </c>
    </row>
    <row r="7" spans="1:3" x14ac:dyDescent="0.25">
      <c r="A7" s="1">
        <f t="shared" si="0"/>
        <v>45297</v>
      </c>
      <c r="B7" s="2">
        <v>103</v>
      </c>
      <c r="C7" s="2">
        <v>1900</v>
      </c>
    </row>
    <row r="8" spans="1:3" x14ac:dyDescent="0.25">
      <c r="A8" s="1">
        <f t="shared" si="0"/>
        <v>45298</v>
      </c>
      <c r="B8" s="2">
        <v>104</v>
      </c>
      <c r="C8" s="2">
        <v>1980</v>
      </c>
    </row>
    <row r="9" spans="1:3" x14ac:dyDescent="0.25">
      <c r="A9" s="1">
        <f t="shared" si="0"/>
        <v>45299</v>
      </c>
      <c r="B9" s="2">
        <v>103</v>
      </c>
      <c r="C9" s="2">
        <v>2030</v>
      </c>
    </row>
    <row r="10" spans="1:3" x14ac:dyDescent="0.25">
      <c r="A10" s="1">
        <f t="shared" si="0"/>
        <v>45300</v>
      </c>
      <c r="B10" s="2">
        <v>104</v>
      </c>
      <c r="C10" s="2">
        <v>2100</v>
      </c>
    </row>
    <row r="11" spans="1:3" x14ac:dyDescent="0.25">
      <c r="A11" s="1">
        <f t="shared" si="0"/>
        <v>45301</v>
      </c>
      <c r="B11" s="2">
        <v>104</v>
      </c>
      <c r="C11" s="2">
        <v>2080</v>
      </c>
    </row>
    <row r="12" spans="1:3" x14ac:dyDescent="0.25">
      <c r="A12" s="1">
        <f t="shared" si="0"/>
        <v>45302</v>
      </c>
      <c r="B12" s="2">
        <v>105</v>
      </c>
      <c r="C12" s="2">
        <v>1975</v>
      </c>
    </row>
    <row r="13" spans="1:3" x14ac:dyDescent="0.25">
      <c r="A13" s="1">
        <f t="shared" si="0"/>
        <v>45303</v>
      </c>
      <c r="B13" s="2">
        <v>105</v>
      </c>
      <c r="C13" s="2">
        <v>2010</v>
      </c>
    </row>
    <row r="14" spans="1:3" x14ac:dyDescent="0.25">
      <c r="A14" s="1">
        <f t="shared" si="0"/>
        <v>45304</v>
      </c>
      <c r="B14" s="2">
        <v>106</v>
      </c>
      <c r="C14" s="2">
        <v>2110</v>
      </c>
    </row>
    <row r="15" spans="1:3" x14ac:dyDescent="0.25">
      <c r="A15" s="1">
        <f t="shared" si="0"/>
        <v>45305</v>
      </c>
      <c r="B15" s="2">
        <v>106</v>
      </c>
      <c r="C15" s="2">
        <v>2050</v>
      </c>
    </row>
    <row r="16" spans="1:3" x14ac:dyDescent="0.25">
      <c r="A16" s="1">
        <f t="shared" si="0"/>
        <v>45306</v>
      </c>
      <c r="B16" s="2">
        <v>107</v>
      </c>
      <c r="C16" s="2">
        <v>2130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E098-B546-431E-9109-56F7E61FDB3A}">
  <dimension ref="A4:C14"/>
  <sheetViews>
    <sheetView topLeftCell="A4" zoomScale="130" zoomScaleNormal="130" workbookViewId="0">
      <selection activeCell="A4" sqref="A4:B14"/>
    </sheetView>
  </sheetViews>
  <sheetFormatPr defaultRowHeight="15" x14ac:dyDescent="0.25"/>
  <cols>
    <col min="1" max="1" width="10.7109375" customWidth="1"/>
    <col min="2" max="3" width="9.140625" style="2"/>
  </cols>
  <sheetData>
    <row r="4" spans="1:3" x14ac:dyDescent="0.25">
      <c r="B4" s="2" t="s">
        <v>0</v>
      </c>
      <c r="C4" s="2" t="s">
        <v>3</v>
      </c>
    </row>
    <row r="5" spans="1:3" x14ac:dyDescent="0.25">
      <c r="A5" s="1">
        <f>aapl!A2</f>
        <v>45292</v>
      </c>
      <c r="B5" s="2">
        <f>aapl!B2</f>
        <v>100</v>
      </c>
      <c r="C5" s="2">
        <f>B5</f>
        <v>100</v>
      </c>
    </row>
    <row r="6" spans="1:3" x14ac:dyDescent="0.25">
      <c r="A6" s="1">
        <f>aapl!A3</f>
        <v>45293</v>
      </c>
      <c r="B6" s="2">
        <f>aapl!B3</f>
        <v>101</v>
      </c>
      <c r="C6" s="2">
        <f>SUM(B5:B6)/2</f>
        <v>100.5</v>
      </c>
    </row>
    <row r="7" spans="1:3" x14ac:dyDescent="0.25">
      <c r="A7" s="1">
        <f>aapl!A4</f>
        <v>45294</v>
      </c>
      <c r="B7" s="2">
        <f>aapl!B4</f>
        <v>102</v>
      </c>
      <c r="C7" s="2">
        <f>SUM(B5:B7)/3</f>
        <v>101</v>
      </c>
    </row>
    <row r="8" spans="1:3" x14ac:dyDescent="0.25">
      <c r="A8" s="1">
        <f>aapl!A5</f>
        <v>45295</v>
      </c>
      <c r="B8" s="2">
        <f>aapl!B5</f>
        <v>103</v>
      </c>
      <c r="C8" s="2">
        <f>SUM(B5:B8)/4</f>
        <v>101.5</v>
      </c>
    </row>
    <row r="9" spans="1:3" x14ac:dyDescent="0.25">
      <c r="A9" s="1">
        <f>aapl!A6</f>
        <v>45296</v>
      </c>
      <c r="B9" s="2">
        <f>aapl!B6</f>
        <v>104</v>
      </c>
      <c r="C9" s="2">
        <f t="shared" ref="C9:C14" si="0">SUM(B5:B9)/5</f>
        <v>102</v>
      </c>
    </row>
    <row r="10" spans="1:3" x14ac:dyDescent="0.25">
      <c r="A10" s="1">
        <f>aapl!A7</f>
        <v>45297</v>
      </c>
      <c r="B10" s="2">
        <f>aapl!B7</f>
        <v>105</v>
      </c>
      <c r="C10" s="2">
        <f t="shared" si="0"/>
        <v>103</v>
      </c>
    </row>
    <row r="11" spans="1:3" x14ac:dyDescent="0.25">
      <c r="A11" s="1">
        <f>aapl!A8</f>
        <v>45298</v>
      </c>
      <c r="B11" s="2">
        <f>aapl!B8</f>
        <v>106</v>
      </c>
      <c r="C11" s="2">
        <f t="shared" si="0"/>
        <v>104</v>
      </c>
    </row>
    <row r="12" spans="1:3" x14ac:dyDescent="0.25">
      <c r="A12" s="1">
        <f>aapl!A9</f>
        <v>45299</v>
      </c>
      <c r="B12" s="2">
        <f>aapl!B9</f>
        <v>107</v>
      </c>
      <c r="C12" s="2">
        <f t="shared" si="0"/>
        <v>105</v>
      </c>
    </row>
    <row r="13" spans="1:3" x14ac:dyDescent="0.25">
      <c r="A13" s="1">
        <f>aapl!A10</f>
        <v>45300</v>
      </c>
      <c r="B13" s="2">
        <f>aapl!B10</f>
        <v>108</v>
      </c>
      <c r="C13" s="2">
        <f t="shared" si="0"/>
        <v>106</v>
      </c>
    </row>
    <row r="14" spans="1:3" x14ac:dyDescent="0.25">
      <c r="A14" s="1">
        <f>aapl!A11</f>
        <v>45301</v>
      </c>
      <c r="B14" s="2">
        <f>aapl!B11</f>
        <v>109</v>
      </c>
      <c r="C14" s="2">
        <f t="shared" si="0"/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43AD-48E5-4A49-B827-197510B64B9A}">
  <dimension ref="A1:D15"/>
  <sheetViews>
    <sheetView topLeftCell="A4" zoomScale="145" zoomScaleNormal="145" workbookViewId="0">
      <selection activeCell="B15" sqref="B15"/>
    </sheetView>
  </sheetViews>
  <sheetFormatPr defaultRowHeight="15" x14ac:dyDescent="0.25"/>
  <cols>
    <col min="1" max="1" width="11.42578125" customWidth="1"/>
    <col min="3" max="3" width="18.28515625" customWidth="1"/>
  </cols>
  <sheetData>
    <row r="1" spans="1:4" x14ac:dyDescent="0.25">
      <c r="B1" s="2" t="s">
        <v>0</v>
      </c>
      <c r="C1" s="2" t="s">
        <v>6</v>
      </c>
    </row>
    <row r="2" spans="1:4" x14ac:dyDescent="0.25">
      <c r="A2" s="1">
        <f>aapl!A2</f>
        <v>45292</v>
      </c>
      <c r="B2" s="2">
        <f>aapl!B2</f>
        <v>100</v>
      </c>
      <c r="C2" s="2">
        <f>B2</f>
        <v>100</v>
      </c>
    </row>
    <row r="3" spans="1:4" x14ac:dyDescent="0.25">
      <c r="A3" s="1">
        <f>A2+1</f>
        <v>45293</v>
      </c>
      <c r="B3" s="2">
        <f>aapl!B3</f>
        <v>101</v>
      </c>
      <c r="C3" s="2">
        <f>$B$15*B3+(1-$B$15)*C2</f>
        <v>100.5</v>
      </c>
    </row>
    <row r="4" spans="1:4" x14ac:dyDescent="0.25">
      <c r="A4" s="1">
        <f t="shared" ref="A4:A11" si="0">A3+1</f>
        <v>45294</v>
      </c>
      <c r="B4" s="2">
        <f>aapl!B4</f>
        <v>102</v>
      </c>
      <c r="C4" s="2">
        <f t="shared" ref="C4:C11" si="1">$B$15*B4+(1-$B$15)*C3</f>
        <v>101.25</v>
      </c>
    </row>
    <row r="5" spans="1:4" x14ac:dyDescent="0.25">
      <c r="A5" s="1">
        <f t="shared" si="0"/>
        <v>45295</v>
      </c>
      <c r="B5" s="2">
        <f>aapl!B5</f>
        <v>103</v>
      </c>
      <c r="C5" s="2">
        <f t="shared" si="1"/>
        <v>102.125</v>
      </c>
    </row>
    <row r="6" spans="1:4" x14ac:dyDescent="0.25">
      <c r="A6" s="1">
        <f t="shared" si="0"/>
        <v>45296</v>
      </c>
      <c r="B6" s="2">
        <f>aapl!B6</f>
        <v>104</v>
      </c>
      <c r="C6" s="2">
        <f t="shared" si="1"/>
        <v>103.0625</v>
      </c>
    </row>
    <row r="7" spans="1:4" x14ac:dyDescent="0.25">
      <c r="A7" s="1">
        <f t="shared" si="0"/>
        <v>45297</v>
      </c>
      <c r="B7" s="2">
        <f>aapl!B7</f>
        <v>105</v>
      </c>
      <c r="C7" s="2">
        <f t="shared" si="1"/>
        <v>104.03125</v>
      </c>
    </row>
    <row r="8" spans="1:4" x14ac:dyDescent="0.25">
      <c r="A8" s="1">
        <f t="shared" si="0"/>
        <v>45298</v>
      </c>
      <c r="B8" s="2">
        <f>aapl!B8</f>
        <v>106</v>
      </c>
      <c r="C8" s="2">
        <f t="shared" si="1"/>
        <v>105.015625</v>
      </c>
    </row>
    <row r="9" spans="1:4" x14ac:dyDescent="0.25">
      <c r="A9" s="1">
        <f t="shared" si="0"/>
        <v>45299</v>
      </c>
      <c r="B9" s="2">
        <f>aapl!B9</f>
        <v>107</v>
      </c>
      <c r="C9" s="2">
        <f t="shared" si="1"/>
        <v>106.0078125</v>
      </c>
    </row>
    <row r="10" spans="1:4" x14ac:dyDescent="0.25">
      <c r="A10" s="1">
        <f t="shared" si="0"/>
        <v>45300</v>
      </c>
      <c r="B10" s="2">
        <f>aapl!B10</f>
        <v>108</v>
      </c>
      <c r="C10" s="3">
        <f t="shared" si="1"/>
        <v>107.00390625</v>
      </c>
    </row>
    <row r="11" spans="1:4" x14ac:dyDescent="0.25">
      <c r="A11" s="1">
        <f t="shared" si="0"/>
        <v>45301</v>
      </c>
      <c r="B11" s="2">
        <f>aapl!B11</f>
        <v>109</v>
      </c>
      <c r="C11" s="3">
        <f t="shared" si="1"/>
        <v>108.001953125</v>
      </c>
    </row>
    <row r="14" spans="1:4" x14ac:dyDescent="0.25">
      <c r="A14" t="s">
        <v>5</v>
      </c>
      <c r="B14">
        <v>3</v>
      </c>
    </row>
    <row r="15" spans="1:4" x14ac:dyDescent="0.25">
      <c r="A15" t="s">
        <v>4</v>
      </c>
      <c r="B15">
        <f>2/(B14+1)</f>
        <v>0.5</v>
      </c>
      <c r="D15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D4AF-10E5-47AA-BC3D-8C36762EAC1D}">
  <dimension ref="A1:G19"/>
  <sheetViews>
    <sheetView zoomScale="145" zoomScaleNormal="145" workbookViewId="0">
      <selection sqref="A1:B2"/>
    </sheetView>
  </sheetViews>
  <sheetFormatPr defaultRowHeight="15" x14ac:dyDescent="0.25"/>
  <cols>
    <col min="1" max="1" width="10.28515625" customWidth="1"/>
    <col min="2" max="2" width="9.140625" style="2"/>
    <col min="3" max="3" width="10.7109375" style="2" customWidth="1"/>
    <col min="4" max="4" width="9.140625" style="2"/>
    <col min="5" max="7" width="17.140625" style="4" customWidth="1"/>
  </cols>
  <sheetData>
    <row r="1" spans="1:7" x14ac:dyDescent="0.25">
      <c r="B1" s="2" t="s">
        <v>0</v>
      </c>
      <c r="C1" s="2" t="s">
        <v>8</v>
      </c>
      <c r="D1" s="2" t="s">
        <v>9</v>
      </c>
      <c r="E1" s="4" t="s">
        <v>10</v>
      </c>
      <c r="F1" s="4" t="s">
        <v>11</v>
      </c>
      <c r="G1" s="4" t="s">
        <v>12</v>
      </c>
    </row>
    <row r="2" spans="1:7" x14ac:dyDescent="0.25">
      <c r="A2" s="1">
        <f>tsla!A2</f>
        <v>45292</v>
      </c>
      <c r="B2" s="2">
        <f>tsla!B2</f>
        <v>100</v>
      </c>
      <c r="C2" s="2">
        <f>B2</f>
        <v>100</v>
      </c>
      <c r="D2" s="2">
        <f>B2</f>
        <v>100</v>
      </c>
      <c r="E2" s="4">
        <f>C2-D2</f>
        <v>0</v>
      </c>
      <c r="F2" s="4">
        <f>E2</f>
        <v>0</v>
      </c>
      <c r="G2" s="4">
        <f>E2-F2</f>
        <v>0</v>
      </c>
    </row>
    <row r="3" spans="1:7" x14ac:dyDescent="0.25">
      <c r="A3" s="1">
        <f>tsla!A3</f>
        <v>45293</v>
      </c>
      <c r="B3" s="2">
        <f>tsla!B3</f>
        <v>102</v>
      </c>
      <c r="C3" s="2">
        <f>C$19*$B3+(1-C$19)*$C2</f>
        <v>100.30769230769231</v>
      </c>
      <c r="D3" s="2">
        <f>D$19*$B3+(1-D$19)*$D2</f>
        <v>100.14814814814815</v>
      </c>
      <c r="E3" s="4">
        <f t="shared" ref="E3:E16" si="0">C3-D3</f>
        <v>0.15954415954415424</v>
      </c>
      <c r="F3" s="4">
        <f>F$19*$E3+(1-F$19)*$F2</f>
        <v>3.1908831908830849E-2</v>
      </c>
      <c r="G3" s="4">
        <f t="shared" ref="G3:G16" si="1">E3-F3</f>
        <v>0.1276353276353234</v>
      </c>
    </row>
    <row r="4" spans="1:7" x14ac:dyDescent="0.25">
      <c r="A4" s="1">
        <f>tsla!A4</f>
        <v>45294</v>
      </c>
      <c r="B4" s="2">
        <f>tsla!B4</f>
        <v>101</v>
      </c>
      <c r="C4" s="2">
        <f>C$19*$B4+(1-C$19)*$C3</f>
        <v>100.41420118343194</v>
      </c>
      <c r="D4" s="2">
        <f t="shared" ref="D4:D16" si="2">D$19*$B4+(1-D$19)*$D3</f>
        <v>100.21124828532237</v>
      </c>
      <c r="E4" s="4">
        <f>C4-D4</f>
        <v>0.20295289810957229</v>
      </c>
      <c r="F4" s="4">
        <f t="shared" ref="F4:F16" si="3">F$19*$E4+(1-F$19)*$F3</f>
        <v>6.6117645148979137E-2</v>
      </c>
      <c r="G4" s="4">
        <f t="shared" si="1"/>
        <v>0.13683525296059315</v>
      </c>
    </row>
    <row r="5" spans="1:7" x14ac:dyDescent="0.25">
      <c r="A5" s="1">
        <f>tsla!A5</f>
        <v>45295</v>
      </c>
      <c r="B5" s="2">
        <f>tsla!B5</f>
        <v>103</v>
      </c>
      <c r="C5" s="2">
        <f>C$19*$B5+(1-C$19)*$C4</f>
        <v>100.81201638598088</v>
      </c>
      <c r="D5" s="2">
        <f t="shared" si="2"/>
        <v>100.41782248640961</v>
      </c>
      <c r="E5" s="4">
        <f t="shared" si="0"/>
        <v>0.39419389957127748</v>
      </c>
      <c r="F5" s="4">
        <f t="shared" si="3"/>
        <v>0.13173289603343882</v>
      </c>
      <c r="G5" s="4">
        <f t="shared" si="1"/>
        <v>0.26246100353783863</v>
      </c>
    </row>
    <row r="6" spans="1:7" x14ac:dyDescent="0.25">
      <c r="A6" s="1">
        <f>tsla!A6</f>
        <v>45296</v>
      </c>
      <c r="B6" s="2">
        <f>tsla!B6</f>
        <v>102</v>
      </c>
      <c r="C6" s="2">
        <f t="shared" ref="C6:C16" si="4">C$19*$B6+(1-C$19)*$C5</f>
        <v>100.99478309582997</v>
      </c>
      <c r="D6" s="2">
        <f t="shared" si="2"/>
        <v>100.53502082074964</v>
      </c>
      <c r="E6" s="4">
        <f t="shared" si="0"/>
        <v>0.45976227508033674</v>
      </c>
      <c r="F6" s="4">
        <f t="shared" si="3"/>
        <v>0.19733877184281842</v>
      </c>
      <c r="G6" s="4">
        <f t="shared" si="1"/>
        <v>0.26242350323751829</v>
      </c>
    </row>
    <row r="7" spans="1:7" x14ac:dyDescent="0.25">
      <c r="A7" s="1">
        <f>tsla!A7</f>
        <v>45297</v>
      </c>
      <c r="B7" s="2">
        <f>tsla!B7</f>
        <v>104</v>
      </c>
      <c r="C7" s="2">
        <f t="shared" si="4"/>
        <v>101.45712415800998</v>
      </c>
      <c r="D7" s="2">
        <f t="shared" si="2"/>
        <v>100.79168594513855</v>
      </c>
      <c r="E7" s="4">
        <f t="shared" si="0"/>
        <v>0.6654382128714218</v>
      </c>
      <c r="F7" s="4">
        <f t="shared" si="3"/>
        <v>0.2909586600485391</v>
      </c>
      <c r="G7" s="4">
        <f t="shared" si="1"/>
        <v>0.3744795528228827</v>
      </c>
    </row>
    <row r="8" spans="1:7" x14ac:dyDescent="0.25">
      <c r="A8" s="1">
        <f>tsla!A8</f>
        <v>45298</v>
      </c>
      <c r="B8" s="2">
        <f>tsla!B8</f>
        <v>106</v>
      </c>
      <c r="C8" s="2">
        <f t="shared" si="4"/>
        <v>102.15602813370074</v>
      </c>
      <c r="D8" s="2">
        <f t="shared" si="2"/>
        <v>101.1774869862394</v>
      </c>
      <c r="E8" s="4">
        <f t="shared" si="0"/>
        <v>0.97854114746134258</v>
      </c>
      <c r="F8" s="4">
        <f t="shared" si="3"/>
        <v>0.42847515753109977</v>
      </c>
      <c r="G8" s="4">
        <f t="shared" si="1"/>
        <v>0.5500659899302428</v>
      </c>
    </row>
    <row r="9" spans="1:7" x14ac:dyDescent="0.25">
      <c r="A9" s="1">
        <f>tsla!A9</f>
        <v>45299</v>
      </c>
      <c r="B9" s="2">
        <f>tsla!B9</f>
        <v>105</v>
      </c>
      <c r="C9" s="2">
        <f t="shared" si="4"/>
        <v>102.59356226697756</v>
      </c>
      <c r="D9" s="2">
        <f t="shared" si="2"/>
        <v>101.4606360983698</v>
      </c>
      <c r="E9" s="4">
        <f t="shared" si="0"/>
        <v>1.132926168607753</v>
      </c>
      <c r="F9" s="4">
        <f t="shared" si="3"/>
        <v>0.56936535974643043</v>
      </c>
      <c r="G9" s="4">
        <f t="shared" si="1"/>
        <v>0.56356080886132254</v>
      </c>
    </row>
    <row r="10" spans="1:7" x14ac:dyDescent="0.25">
      <c r="A10" s="1">
        <f>tsla!A10</f>
        <v>45300</v>
      </c>
      <c r="B10" s="2">
        <f>tsla!B10</f>
        <v>107</v>
      </c>
      <c r="C10" s="2">
        <f t="shared" si="4"/>
        <v>103.27147576436563</v>
      </c>
      <c r="D10" s="2">
        <f t="shared" si="2"/>
        <v>101.8709593503424</v>
      </c>
      <c r="E10" s="4">
        <f t="shared" si="0"/>
        <v>1.4005164140232296</v>
      </c>
      <c r="F10" s="4">
        <f t="shared" si="3"/>
        <v>0.73559557060179026</v>
      </c>
      <c r="G10" s="4">
        <f t="shared" si="1"/>
        <v>0.66492084342143931</v>
      </c>
    </row>
    <row r="11" spans="1:7" x14ac:dyDescent="0.25">
      <c r="A11" s="1">
        <f>tsla!A11</f>
        <v>45301</v>
      </c>
      <c r="B11" s="2">
        <f>tsla!B11</f>
        <v>108</v>
      </c>
      <c r="C11" s="2">
        <f t="shared" si="4"/>
        <v>103.99894103138629</v>
      </c>
      <c r="D11" s="2">
        <f t="shared" si="2"/>
        <v>102.32496236142815</v>
      </c>
      <c r="E11" s="4">
        <f t="shared" si="0"/>
        <v>1.6739786699581458</v>
      </c>
      <c r="F11" s="4">
        <f t="shared" si="3"/>
        <v>0.92327219047306142</v>
      </c>
      <c r="G11" s="4">
        <f t="shared" si="1"/>
        <v>0.7507064794850844</v>
      </c>
    </row>
    <row r="12" spans="1:7" x14ac:dyDescent="0.25">
      <c r="A12" s="1">
        <f>tsla!A12</f>
        <v>45302</v>
      </c>
      <c r="B12" s="2">
        <f>tsla!B12</f>
        <v>110</v>
      </c>
      <c r="C12" s="2">
        <f t="shared" si="4"/>
        <v>104.92218087271148</v>
      </c>
      <c r="D12" s="2">
        <f t="shared" si="2"/>
        <v>102.89348366798903</v>
      </c>
      <c r="E12" s="4">
        <f t="shared" si="0"/>
        <v>2.0286972047224481</v>
      </c>
      <c r="F12" s="4">
        <f t="shared" si="3"/>
        <v>1.1443571933229388</v>
      </c>
      <c r="G12" s="4">
        <f t="shared" si="1"/>
        <v>0.88434001139950924</v>
      </c>
    </row>
    <row r="13" spans="1:7" x14ac:dyDescent="0.25">
      <c r="A13" s="1">
        <f>tsla!A13</f>
        <v>45303</v>
      </c>
      <c r="B13" s="2">
        <f>tsla!B13</f>
        <v>109</v>
      </c>
      <c r="C13" s="2">
        <f t="shared" si="4"/>
        <v>105.54953766152511</v>
      </c>
      <c r="D13" s="2">
        <f t="shared" si="2"/>
        <v>103.34581821110096</v>
      </c>
      <c r="E13" s="4">
        <f t="shared" si="0"/>
        <v>2.2037194504241455</v>
      </c>
      <c r="F13" s="4">
        <f t="shared" si="3"/>
        <v>1.3562296447431803</v>
      </c>
      <c r="G13" s="4">
        <f t="shared" si="1"/>
        <v>0.84748980568096521</v>
      </c>
    </row>
    <row r="14" spans="1:7" x14ac:dyDescent="0.25">
      <c r="A14" s="1">
        <f>tsla!A14</f>
        <v>45304</v>
      </c>
      <c r="B14" s="2">
        <f>tsla!B14</f>
        <v>111</v>
      </c>
      <c r="C14" s="2">
        <f t="shared" si="4"/>
        <v>106.38807032898279</v>
      </c>
      <c r="D14" s="2">
        <f t="shared" si="2"/>
        <v>103.9127946399083</v>
      </c>
      <c r="E14" s="4">
        <f t="shared" si="0"/>
        <v>2.4752756890744934</v>
      </c>
      <c r="F14" s="4">
        <f t="shared" si="3"/>
        <v>1.580038853609443</v>
      </c>
      <c r="G14" s="4">
        <f t="shared" si="1"/>
        <v>0.8952368354650504</v>
      </c>
    </row>
    <row r="15" spans="1:7" x14ac:dyDescent="0.25">
      <c r="A15" s="1">
        <f>tsla!A15</f>
        <v>45305</v>
      </c>
      <c r="B15" s="2">
        <f>tsla!B15</f>
        <v>112</v>
      </c>
      <c r="C15" s="2">
        <f t="shared" si="4"/>
        <v>107.25144412452391</v>
      </c>
      <c r="D15" s="2">
        <f t="shared" si="2"/>
        <v>104.51184688880397</v>
      </c>
      <c r="E15" s="4">
        <f t="shared" si="0"/>
        <v>2.7395972357199412</v>
      </c>
      <c r="F15" s="4">
        <f t="shared" si="3"/>
        <v>1.8119505300315426</v>
      </c>
      <c r="G15" s="4">
        <f t="shared" si="1"/>
        <v>0.92764670568839858</v>
      </c>
    </row>
    <row r="16" spans="1:7" x14ac:dyDescent="0.25">
      <c r="A16" s="1">
        <f>tsla!A16</f>
        <v>45306</v>
      </c>
      <c r="B16" s="2">
        <f>tsla!B16</f>
        <v>113</v>
      </c>
      <c r="C16" s="2">
        <f t="shared" si="4"/>
        <v>108.13583733613562</v>
      </c>
      <c r="D16" s="2">
        <f t="shared" si="2"/>
        <v>105.14059897111478</v>
      </c>
      <c r="E16" s="4">
        <f t="shared" si="0"/>
        <v>2.995238365020839</v>
      </c>
      <c r="F16" s="4">
        <f t="shared" si="3"/>
        <v>2.0486080970294021</v>
      </c>
      <c r="G16" s="4">
        <f t="shared" si="1"/>
        <v>0.9466302679914369</v>
      </c>
    </row>
    <row r="18" spans="1:6" x14ac:dyDescent="0.25">
      <c r="A18" t="s">
        <v>5</v>
      </c>
      <c r="C18" s="2">
        <v>12</v>
      </c>
      <c r="D18" s="2">
        <v>26</v>
      </c>
      <c r="F18" s="4">
        <v>9</v>
      </c>
    </row>
    <row r="19" spans="1:6" x14ac:dyDescent="0.25">
      <c r="A19" t="s">
        <v>4</v>
      </c>
      <c r="C19" s="2">
        <f>2/(C18+1)</f>
        <v>0.15384615384615385</v>
      </c>
      <c r="D19" s="2">
        <f>2/(D18+1)</f>
        <v>7.407407407407407E-2</v>
      </c>
      <c r="F19" s="4">
        <f>2/(F18+1)</f>
        <v>0.2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8ABF-9948-421B-B5F7-329647094869}">
  <dimension ref="A1:AG32"/>
  <sheetViews>
    <sheetView zoomScale="160" zoomScaleNormal="160" workbookViewId="0">
      <pane xSplit="1" topLeftCell="B1" activePane="topRight" state="frozen"/>
      <selection pane="topRight" activeCell="V34" sqref="V34"/>
    </sheetView>
  </sheetViews>
  <sheetFormatPr defaultRowHeight="15" x14ac:dyDescent="0.25"/>
  <cols>
    <col min="1" max="1" width="15.5703125" customWidth="1"/>
    <col min="2" max="5" width="9.140625" style="2"/>
    <col min="6" max="6" width="19.42578125" style="2" bestFit="1" customWidth="1"/>
    <col min="7" max="7" width="19.28515625" style="2" bestFit="1" customWidth="1"/>
    <col min="8" max="8" width="9.140625" style="2"/>
    <col min="9" max="10" width="12.28515625" style="2" customWidth="1"/>
    <col min="11" max="11" width="4.42578125" style="2" customWidth="1"/>
    <col min="12" max="12" width="9.140625" style="2"/>
    <col min="13" max="13" width="12.42578125" style="2" customWidth="1"/>
    <col min="14" max="14" width="21.5703125" bestFit="1" customWidth="1"/>
    <col min="15" max="15" width="11.85546875" bestFit="1" customWidth="1"/>
    <col min="17" max="18" width="9.140625" style="2"/>
    <col min="19" max="19" width="10.7109375" style="2" customWidth="1"/>
    <col min="20" max="20" width="4.140625" style="2" customWidth="1"/>
    <col min="21" max="21" width="21.5703125" bestFit="1" customWidth="1"/>
    <col min="22" max="22" width="14.42578125" bestFit="1" customWidth="1"/>
    <col min="24" max="24" width="9.140625" style="2"/>
    <col min="26" max="26" width="11.42578125" style="2" customWidth="1"/>
    <col min="27" max="27" width="3.85546875" customWidth="1"/>
    <col min="28" max="29" width="10" style="10" bestFit="1" customWidth="1"/>
    <col min="30" max="31" width="9.140625" style="2"/>
    <col min="32" max="32" width="11.7109375" style="10" customWidth="1"/>
    <col min="33" max="33" width="9.140625" style="2"/>
  </cols>
  <sheetData>
    <row r="1" spans="1:33" x14ac:dyDescent="0.25">
      <c r="B1" s="2" t="s">
        <v>0</v>
      </c>
      <c r="C1" s="2" t="s">
        <v>1</v>
      </c>
      <c r="D1" s="2" t="s">
        <v>2</v>
      </c>
      <c r="E1" s="2" t="s">
        <v>13</v>
      </c>
      <c r="F1" s="2" t="s">
        <v>14</v>
      </c>
      <c r="G1" s="2" t="s">
        <v>35</v>
      </c>
      <c r="H1" s="6" t="s">
        <v>17</v>
      </c>
      <c r="I1" s="6" t="s">
        <v>25</v>
      </c>
      <c r="J1" s="6" t="s">
        <v>36</v>
      </c>
      <c r="L1" s="2" t="s">
        <v>15</v>
      </c>
      <c r="M1" s="2" t="s">
        <v>16</v>
      </c>
      <c r="N1" t="s">
        <v>18</v>
      </c>
      <c r="O1" s="2" t="s">
        <v>19</v>
      </c>
      <c r="P1" s="2" t="s">
        <v>20</v>
      </c>
      <c r="Q1" s="7" t="s">
        <v>24</v>
      </c>
      <c r="R1" s="7" t="s">
        <v>23</v>
      </c>
      <c r="S1" s="7" t="s">
        <v>37</v>
      </c>
      <c r="U1" s="2" t="s">
        <v>21</v>
      </c>
      <c r="V1" s="2" t="s">
        <v>22</v>
      </c>
      <c r="W1" s="2" t="s">
        <v>20</v>
      </c>
      <c r="X1" s="7" t="s">
        <v>26</v>
      </c>
      <c r="Y1" s="7" t="s">
        <v>27</v>
      </c>
      <c r="Z1" s="7" t="s">
        <v>38</v>
      </c>
      <c r="AB1" s="9" t="s">
        <v>28</v>
      </c>
      <c r="AC1" s="9" t="s">
        <v>29</v>
      </c>
      <c r="AD1" s="5" t="s">
        <v>30</v>
      </c>
      <c r="AE1" s="5" t="s">
        <v>33</v>
      </c>
      <c r="AF1" s="11" t="s">
        <v>31</v>
      </c>
      <c r="AG1" s="6" t="s">
        <v>32</v>
      </c>
    </row>
    <row r="2" spans="1:33" x14ac:dyDescent="0.25">
      <c r="A2" s="1">
        <f>tsla!A2</f>
        <v>45292</v>
      </c>
      <c r="B2" s="2">
        <f>tsla!B2</f>
        <v>100</v>
      </c>
      <c r="C2" s="2">
        <f>tsla!C2</f>
        <v>101</v>
      </c>
      <c r="D2" s="2">
        <f>tsla!D2</f>
        <v>99</v>
      </c>
      <c r="E2" s="2">
        <f>C2-D2</f>
        <v>2</v>
      </c>
      <c r="H2" s="2">
        <f>MAX(E2:G2)</f>
        <v>2</v>
      </c>
      <c r="L2" s="8"/>
      <c r="M2" s="8"/>
      <c r="Q2" s="8"/>
      <c r="X2" s="8"/>
    </row>
    <row r="3" spans="1:33" x14ac:dyDescent="0.25">
      <c r="A3" s="1">
        <f>tsla!A3</f>
        <v>45293</v>
      </c>
      <c r="B3" s="2">
        <f>tsla!B3</f>
        <v>102</v>
      </c>
      <c r="C3" s="2">
        <f>tsla!C3</f>
        <v>103</v>
      </c>
      <c r="D3" s="2">
        <f>tsla!D3</f>
        <v>101</v>
      </c>
      <c r="E3" s="2">
        <f t="shared" ref="E3:E16" si="0">C3-D3</f>
        <v>2</v>
      </c>
      <c r="F3" s="2">
        <f>ABS(C3-B2)</f>
        <v>3</v>
      </c>
      <c r="G3" s="2">
        <f>ABS(D3-B2)</f>
        <v>1</v>
      </c>
      <c r="H3" s="2">
        <f t="shared" ref="H3:H16" si="1">MAX(E3:G3)</f>
        <v>3</v>
      </c>
      <c r="L3" s="2">
        <f>C3-C2</f>
        <v>2</v>
      </c>
      <c r="M3" s="2">
        <f>D2-D3</f>
        <v>-2</v>
      </c>
      <c r="N3" t="b">
        <f>L3&gt;M3</f>
        <v>1</v>
      </c>
      <c r="O3" t="b">
        <f>L3&gt;0</f>
        <v>1</v>
      </c>
      <c r="P3" t="b">
        <f>AND(N3:O3)</f>
        <v>1</v>
      </c>
      <c r="Q3" s="2">
        <f>IF(P3,L3,0)</f>
        <v>2</v>
      </c>
      <c r="U3" t="b">
        <f t="shared" ref="U3:U16" si="2">M3 &gt; L3</f>
        <v>0</v>
      </c>
      <c r="V3" t="b">
        <f t="shared" ref="V3:V16" si="3">M3 &gt; 0</f>
        <v>0</v>
      </c>
      <c r="W3" t="b">
        <f>AND(U3:V3)</f>
        <v>0</v>
      </c>
      <c r="X3" s="2">
        <f t="shared" ref="X3:X16" si="4">IF(W3,M3, 0)</f>
        <v>0</v>
      </c>
    </row>
    <row r="4" spans="1:33" x14ac:dyDescent="0.25">
      <c r="A4" s="1">
        <f>tsla!A4</f>
        <v>45294</v>
      </c>
      <c r="B4" s="2">
        <f>tsla!B4</f>
        <v>101</v>
      </c>
      <c r="C4" s="2">
        <f>tsla!C4</f>
        <v>102</v>
      </c>
      <c r="D4" s="2">
        <f>tsla!D4</f>
        <v>100</v>
      </c>
      <c r="E4" s="2">
        <f t="shared" si="0"/>
        <v>2</v>
      </c>
      <c r="F4" s="2">
        <f t="shared" ref="F4:F16" si="5">ABS(C4-B3)</f>
        <v>0</v>
      </c>
      <c r="G4" s="2">
        <f t="shared" ref="G4:G16" si="6">ABS(D4-B3)</f>
        <v>2</v>
      </c>
      <c r="H4" s="2">
        <f t="shared" si="1"/>
        <v>2</v>
      </c>
      <c r="L4" s="2">
        <f t="shared" ref="L4:L15" si="7">C4-C3</f>
        <v>-1</v>
      </c>
      <c r="M4" s="2">
        <f t="shared" ref="M4:M16" si="8">D3-D4</f>
        <v>1</v>
      </c>
      <c r="N4" t="b">
        <f t="shared" ref="N4:N16" si="9">L4&gt;M4</f>
        <v>0</v>
      </c>
      <c r="O4" t="b">
        <f t="shared" ref="O4:O16" si="10">L4&gt;0</f>
        <v>0</v>
      </c>
      <c r="P4" t="b">
        <f t="shared" ref="P4:P16" si="11">AND(N4:O4)</f>
        <v>0</v>
      </c>
      <c r="Q4" s="2">
        <f t="shared" ref="Q4:Q16" si="12">IF(P4,L4,0)</f>
        <v>0</v>
      </c>
      <c r="U4" t="b">
        <f t="shared" si="2"/>
        <v>1</v>
      </c>
      <c r="V4" t="b">
        <f t="shared" si="3"/>
        <v>1</v>
      </c>
      <c r="W4" t="b">
        <f t="shared" ref="W4:W16" si="13">AND(U4:V4)</f>
        <v>1</v>
      </c>
      <c r="X4" s="2">
        <f t="shared" si="4"/>
        <v>1</v>
      </c>
    </row>
    <row r="5" spans="1:33" x14ac:dyDescent="0.25">
      <c r="A5" s="1">
        <f>tsla!A5</f>
        <v>45295</v>
      </c>
      <c r="B5" s="2">
        <f>tsla!B5</f>
        <v>103</v>
      </c>
      <c r="C5" s="2">
        <f>tsla!C5</f>
        <v>104</v>
      </c>
      <c r="D5" s="2">
        <f>tsla!D5</f>
        <v>102</v>
      </c>
      <c r="E5" s="2">
        <f t="shared" si="0"/>
        <v>2</v>
      </c>
      <c r="F5" s="2">
        <f t="shared" si="5"/>
        <v>3</v>
      </c>
      <c r="G5" s="2">
        <f t="shared" si="6"/>
        <v>1</v>
      </c>
      <c r="H5" s="2">
        <f t="shared" si="1"/>
        <v>3</v>
      </c>
      <c r="L5" s="2">
        <f t="shared" si="7"/>
        <v>2</v>
      </c>
      <c r="M5" s="2">
        <f t="shared" si="8"/>
        <v>-2</v>
      </c>
      <c r="N5" t="b">
        <f t="shared" si="9"/>
        <v>1</v>
      </c>
      <c r="O5" t="b">
        <f t="shared" si="10"/>
        <v>1</v>
      </c>
      <c r="P5" t="b">
        <f t="shared" si="11"/>
        <v>1</v>
      </c>
      <c r="Q5" s="2">
        <f t="shared" si="12"/>
        <v>2</v>
      </c>
      <c r="U5" t="b">
        <f t="shared" si="2"/>
        <v>0</v>
      </c>
      <c r="V5" t="b">
        <f t="shared" si="3"/>
        <v>0</v>
      </c>
      <c r="W5" t="b">
        <f t="shared" si="13"/>
        <v>0</v>
      </c>
      <c r="X5" s="2">
        <f t="shared" si="4"/>
        <v>0</v>
      </c>
    </row>
    <row r="6" spans="1:33" x14ac:dyDescent="0.25">
      <c r="A6" s="1">
        <f>tsla!A6</f>
        <v>45296</v>
      </c>
      <c r="B6" s="2">
        <f>tsla!B6</f>
        <v>102</v>
      </c>
      <c r="C6" s="2">
        <f>tsla!C6</f>
        <v>103</v>
      </c>
      <c r="D6" s="2">
        <f>tsla!D6</f>
        <v>101</v>
      </c>
      <c r="E6" s="2">
        <f t="shared" si="0"/>
        <v>2</v>
      </c>
      <c r="F6" s="2">
        <f t="shared" si="5"/>
        <v>0</v>
      </c>
      <c r="G6" s="2">
        <f t="shared" si="6"/>
        <v>2</v>
      </c>
      <c r="H6" s="2">
        <f t="shared" si="1"/>
        <v>2</v>
      </c>
      <c r="L6" s="2">
        <f t="shared" si="7"/>
        <v>-1</v>
      </c>
      <c r="M6" s="2">
        <f t="shared" si="8"/>
        <v>1</v>
      </c>
      <c r="N6" t="b">
        <f t="shared" si="9"/>
        <v>0</v>
      </c>
      <c r="O6" t="b">
        <f t="shared" si="10"/>
        <v>0</v>
      </c>
      <c r="P6" t="b">
        <f t="shared" si="11"/>
        <v>0</v>
      </c>
      <c r="Q6" s="2">
        <f t="shared" si="12"/>
        <v>0</v>
      </c>
      <c r="U6" t="b">
        <f t="shared" si="2"/>
        <v>1</v>
      </c>
      <c r="V6" t="b">
        <f t="shared" si="3"/>
        <v>1</v>
      </c>
      <c r="W6" t="b">
        <f t="shared" si="13"/>
        <v>1</v>
      </c>
      <c r="X6" s="2">
        <f t="shared" si="4"/>
        <v>1</v>
      </c>
    </row>
    <row r="7" spans="1:33" x14ac:dyDescent="0.25">
      <c r="A7" s="1">
        <f>tsla!A7</f>
        <v>45297</v>
      </c>
      <c r="B7" s="2">
        <f>tsla!B7</f>
        <v>104</v>
      </c>
      <c r="C7" s="2">
        <f>tsla!C7</f>
        <v>105</v>
      </c>
      <c r="D7" s="2">
        <f>tsla!D7</f>
        <v>103</v>
      </c>
      <c r="E7" s="2">
        <f t="shared" si="0"/>
        <v>2</v>
      </c>
      <c r="F7" s="2">
        <f t="shared" si="5"/>
        <v>3</v>
      </c>
      <c r="G7" s="2">
        <f t="shared" si="6"/>
        <v>1</v>
      </c>
      <c r="H7" s="2">
        <f t="shared" si="1"/>
        <v>3</v>
      </c>
      <c r="L7" s="2">
        <f t="shared" si="7"/>
        <v>2</v>
      </c>
      <c r="M7" s="2">
        <f t="shared" si="8"/>
        <v>-2</v>
      </c>
      <c r="N7" t="b">
        <f t="shared" si="9"/>
        <v>1</v>
      </c>
      <c r="O7" t="b">
        <f t="shared" si="10"/>
        <v>1</v>
      </c>
      <c r="P7" t="b">
        <f t="shared" si="11"/>
        <v>1</v>
      </c>
      <c r="Q7" s="2">
        <f t="shared" si="12"/>
        <v>2</v>
      </c>
      <c r="U7" t="b">
        <f t="shared" si="2"/>
        <v>0</v>
      </c>
      <c r="V7" t="b">
        <f t="shared" si="3"/>
        <v>0</v>
      </c>
      <c r="W7" t="b">
        <f t="shared" si="13"/>
        <v>0</v>
      </c>
      <c r="X7" s="2">
        <f t="shared" si="4"/>
        <v>0</v>
      </c>
    </row>
    <row r="8" spans="1:33" x14ac:dyDescent="0.25">
      <c r="A8" s="1">
        <f>tsla!A8</f>
        <v>45298</v>
      </c>
      <c r="B8" s="2">
        <f>tsla!B8</f>
        <v>106</v>
      </c>
      <c r="C8" s="2">
        <f>tsla!C8</f>
        <v>107</v>
      </c>
      <c r="D8" s="2">
        <f>tsla!D8</f>
        <v>105</v>
      </c>
      <c r="E8" s="2">
        <f t="shared" si="0"/>
        <v>2</v>
      </c>
      <c r="F8" s="2">
        <f t="shared" si="5"/>
        <v>3</v>
      </c>
      <c r="G8" s="2">
        <f t="shared" si="6"/>
        <v>1</v>
      </c>
      <c r="H8" s="2">
        <f t="shared" si="1"/>
        <v>3</v>
      </c>
      <c r="L8" s="2">
        <f t="shared" si="7"/>
        <v>2</v>
      </c>
      <c r="M8" s="2">
        <f t="shared" si="8"/>
        <v>-2</v>
      </c>
      <c r="N8" t="b">
        <f t="shared" si="9"/>
        <v>1</v>
      </c>
      <c r="O8" t="b">
        <f t="shared" si="10"/>
        <v>1</v>
      </c>
      <c r="P8" t="b">
        <f t="shared" si="11"/>
        <v>1</v>
      </c>
      <c r="Q8" s="2">
        <f t="shared" si="12"/>
        <v>2</v>
      </c>
      <c r="U8" t="b">
        <f t="shared" si="2"/>
        <v>0</v>
      </c>
      <c r="V8" t="b">
        <f t="shared" si="3"/>
        <v>0</v>
      </c>
      <c r="W8" t="b">
        <f t="shared" si="13"/>
        <v>0</v>
      </c>
      <c r="X8" s="2">
        <f t="shared" si="4"/>
        <v>0</v>
      </c>
    </row>
    <row r="9" spans="1:33" x14ac:dyDescent="0.25">
      <c r="A9" s="1">
        <f>tsla!A9</f>
        <v>45299</v>
      </c>
      <c r="B9" s="2">
        <f>tsla!B9</f>
        <v>105</v>
      </c>
      <c r="C9" s="2">
        <f>tsla!C9</f>
        <v>106</v>
      </c>
      <c r="D9" s="2">
        <f>tsla!D9</f>
        <v>104</v>
      </c>
      <c r="E9" s="2">
        <f t="shared" si="0"/>
        <v>2</v>
      </c>
      <c r="F9" s="2">
        <f t="shared" si="5"/>
        <v>0</v>
      </c>
      <c r="G9" s="2">
        <f t="shared" si="6"/>
        <v>2</v>
      </c>
      <c r="H9" s="2">
        <f t="shared" si="1"/>
        <v>2</v>
      </c>
      <c r="L9" s="2">
        <f t="shared" si="7"/>
        <v>-1</v>
      </c>
      <c r="M9" s="2">
        <f t="shared" si="8"/>
        <v>1</v>
      </c>
      <c r="N9" t="b">
        <f t="shared" si="9"/>
        <v>0</v>
      </c>
      <c r="O9" t="b">
        <f t="shared" si="10"/>
        <v>0</v>
      </c>
      <c r="P9" t="b">
        <f t="shared" si="11"/>
        <v>0</v>
      </c>
      <c r="Q9" s="2">
        <f t="shared" si="12"/>
        <v>0</v>
      </c>
      <c r="U9" t="b">
        <f t="shared" si="2"/>
        <v>1</v>
      </c>
      <c r="V9" t="b">
        <f t="shared" si="3"/>
        <v>1</v>
      </c>
      <c r="W9" t="b">
        <f t="shared" si="13"/>
        <v>1</v>
      </c>
      <c r="X9" s="2">
        <f t="shared" si="4"/>
        <v>1</v>
      </c>
    </row>
    <row r="10" spans="1:33" x14ac:dyDescent="0.25">
      <c r="A10" s="1">
        <f>tsla!A10</f>
        <v>45300</v>
      </c>
      <c r="B10" s="2">
        <f>tsla!B10</f>
        <v>107</v>
      </c>
      <c r="C10" s="2">
        <f>tsla!C10</f>
        <v>108</v>
      </c>
      <c r="D10" s="2">
        <f>tsla!D10</f>
        <v>106</v>
      </c>
      <c r="E10" s="2">
        <f t="shared" si="0"/>
        <v>2</v>
      </c>
      <c r="F10" s="2">
        <f t="shared" si="5"/>
        <v>3</v>
      </c>
      <c r="G10" s="2">
        <f t="shared" si="6"/>
        <v>1</v>
      </c>
      <c r="H10" s="2">
        <f t="shared" si="1"/>
        <v>3</v>
      </c>
      <c r="L10" s="2">
        <f t="shared" si="7"/>
        <v>2</v>
      </c>
      <c r="M10" s="2">
        <f t="shared" si="8"/>
        <v>-2</v>
      </c>
      <c r="N10" t="b">
        <f t="shared" si="9"/>
        <v>1</v>
      </c>
      <c r="O10" t="b">
        <f t="shared" si="10"/>
        <v>1</v>
      </c>
      <c r="P10" t="b">
        <f t="shared" si="11"/>
        <v>1</v>
      </c>
      <c r="Q10" s="2">
        <f t="shared" si="12"/>
        <v>2</v>
      </c>
      <c r="U10" t="b">
        <f t="shared" si="2"/>
        <v>0</v>
      </c>
      <c r="V10" t="b">
        <f t="shared" si="3"/>
        <v>0</v>
      </c>
      <c r="W10" t="b">
        <f t="shared" si="13"/>
        <v>0</v>
      </c>
      <c r="X10" s="2">
        <f t="shared" si="4"/>
        <v>0</v>
      </c>
    </row>
    <row r="11" spans="1:33" x14ac:dyDescent="0.25">
      <c r="A11" s="1">
        <f>tsla!A11</f>
        <v>45301</v>
      </c>
      <c r="B11" s="2">
        <f>tsla!B11</f>
        <v>108</v>
      </c>
      <c r="C11" s="2">
        <f>tsla!C11</f>
        <v>109</v>
      </c>
      <c r="D11" s="2">
        <f>tsla!D11</f>
        <v>107</v>
      </c>
      <c r="E11" s="2">
        <f t="shared" si="0"/>
        <v>2</v>
      </c>
      <c r="F11" s="2">
        <f t="shared" si="5"/>
        <v>2</v>
      </c>
      <c r="G11" s="2">
        <f t="shared" si="6"/>
        <v>0</v>
      </c>
      <c r="H11" s="2">
        <f t="shared" si="1"/>
        <v>2</v>
      </c>
      <c r="L11" s="2">
        <f t="shared" si="7"/>
        <v>1</v>
      </c>
      <c r="M11" s="2">
        <f t="shared" si="8"/>
        <v>-1</v>
      </c>
      <c r="N11" t="b">
        <f t="shared" si="9"/>
        <v>1</v>
      </c>
      <c r="O11" t="b">
        <f t="shared" si="10"/>
        <v>1</v>
      </c>
      <c r="P11" t="b">
        <f t="shared" si="11"/>
        <v>1</v>
      </c>
      <c r="Q11" s="2">
        <f t="shared" si="12"/>
        <v>1</v>
      </c>
      <c r="U11" t="b">
        <f t="shared" si="2"/>
        <v>0</v>
      </c>
      <c r="V11" t="b">
        <f t="shared" si="3"/>
        <v>0</v>
      </c>
      <c r="W11" t="b">
        <f t="shared" si="13"/>
        <v>0</v>
      </c>
      <c r="X11" s="2">
        <f t="shared" si="4"/>
        <v>0</v>
      </c>
    </row>
    <row r="12" spans="1:33" x14ac:dyDescent="0.25">
      <c r="A12" s="1">
        <f>tsla!A12</f>
        <v>45302</v>
      </c>
      <c r="B12" s="2">
        <f>tsla!B12</f>
        <v>110</v>
      </c>
      <c r="C12" s="2">
        <f>tsla!C12</f>
        <v>111</v>
      </c>
      <c r="D12" s="2">
        <f>tsla!D12</f>
        <v>109</v>
      </c>
      <c r="E12" s="2">
        <f t="shared" si="0"/>
        <v>2</v>
      </c>
      <c r="F12" s="2">
        <f t="shared" si="5"/>
        <v>3</v>
      </c>
      <c r="G12" s="2">
        <f t="shared" si="6"/>
        <v>1</v>
      </c>
      <c r="H12" s="2">
        <f t="shared" si="1"/>
        <v>3</v>
      </c>
      <c r="L12" s="2">
        <f t="shared" si="7"/>
        <v>2</v>
      </c>
      <c r="M12" s="2">
        <f t="shared" si="8"/>
        <v>-2</v>
      </c>
      <c r="N12" t="b">
        <f t="shared" si="9"/>
        <v>1</v>
      </c>
      <c r="O12" t="b">
        <f t="shared" si="10"/>
        <v>1</v>
      </c>
      <c r="P12" t="b">
        <f t="shared" si="11"/>
        <v>1</v>
      </c>
      <c r="Q12" s="2">
        <f t="shared" si="12"/>
        <v>2</v>
      </c>
      <c r="U12" t="b">
        <f t="shared" si="2"/>
        <v>0</v>
      </c>
      <c r="V12" t="b">
        <f t="shared" si="3"/>
        <v>0</v>
      </c>
      <c r="W12" t="b">
        <f t="shared" si="13"/>
        <v>0</v>
      </c>
      <c r="X12" s="2">
        <f t="shared" si="4"/>
        <v>0</v>
      </c>
    </row>
    <row r="13" spans="1:33" x14ac:dyDescent="0.25">
      <c r="A13" s="1">
        <f>tsla!A13</f>
        <v>45303</v>
      </c>
      <c r="B13" s="2">
        <f>tsla!B13</f>
        <v>109</v>
      </c>
      <c r="C13" s="2">
        <f>tsla!C13</f>
        <v>110</v>
      </c>
      <c r="D13" s="2">
        <f>tsla!D13</f>
        <v>108</v>
      </c>
      <c r="E13" s="2">
        <f t="shared" si="0"/>
        <v>2</v>
      </c>
      <c r="F13" s="2">
        <f t="shared" si="5"/>
        <v>0</v>
      </c>
      <c r="G13" s="2">
        <f t="shared" si="6"/>
        <v>2</v>
      </c>
      <c r="H13" s="2">
        <f t="shared" si="1"/>
        <v>2</v>
      </c>
      <c r="L13" s="2">
        <f t="shared" si="7"/>
        <v>-1</v>
      </c>
      <c r="M13" s="2">
        <f t="shared" si="8"/>
        <v>1</v>
      </c>
      <c r="N13" t="b">
        <f t="shared" si="9"/>
        <v>0</v>
      </c>
      <c r="O13" t="b">
        <f t="shared" si="10"/>
        <v>0</v>
      </c>
      <c r="P13" t="b">
        <f t="shared" si="11"/>
        <v>0</v>
      </c>
      <c r="Q13" s="2">
        <f t="shared" si="12"/>
        <v>0</v>
      </c>
      <c r="U13" t="b">
        <f t="shared" si="2"/>
        <v>1</v>
      </c>
      <c r="V13" t="b">
        <f t="shared" si="3"/>
        <v>1</v>
      </c>
      <c r="W13" t="b">
        <f t="shared" si="13"/>
        <v>1</v>
      </c>
      <c r="X13" s="2">
        <f t="shared" si="4"/>
        <v>1</v>
      </c>
    </row>
    <row r="14" spans="1:33" x14ac:dyDescent="0.25">
      <c r="A14" s="1">
        <f>tsla!A14</f>
        <v>45304</v>
      </c>
      <c r="B14" s="2">
        <f>tsla!B14</f>
        <v>111</v>
      </c>
      <c r="C14" s="2">
        <f>tsla!C14</f>
        <v>112</v>
      </c>
      <c r="D14" s="2">
        <f>tsla!D14</f>
        <v>110</v>
      </c>
      <c r="E14" s="2">
        <f t="shared" si="0"/>
        <v>2</v>
      </c>
      <c r="F14" s="2">
        <f t="shared" si="5"/>
        <v>3</v>
      </c>
      <c r="G14" s="2">
        <f t="shared" si="6"/>
        <v>1</v>
      </c>
      <c r="H14" s="2">
        <f t="shared" si="1"/>
        <v>3</v>
      </c>
      <c r="L14" s="2">
        <f t="shared" si="7"/>
        <v>2</v>
      </c>
      <c r="M14" s="2">
        <f t="shared" si="8"/>
        <v>-2</v>
      </c>
      <c r="N14" t="b">
        <f t="shared" si="9"/>
        <v>1</v>
      </c>
      <c r="O14" t="b">
        <f t="shared" si="10"/>
        <v>1</v>
      </c>
      <c r="P14" t="b">
        <f t="shared" si="11"/>
        <v>1</v>
      </c>
      <c r="Q14" s="2">
        <f t="shared" si="12"/>
        <v>2</v>
      </c>
      <c r="U14" t="b">
        <f t="shared" si="2"/>
        <v>0</v>
      </c>
      <c r="V14" t="b">
        <f t="shared" si="3"/>
        <v>0</v>
      </c>
      <c r="W14" t="b">
        <f t="shared" si="13"/>
        <v>0</v>
      </c>
      <c r="X14" s="2">
        <f t="shared" si="4"/>
        <v>0</v>
      </c>
    </row>
    <row r="15" spans="1:33" x14ac:dyDescent="0.25">
      <c r="A15" s="1">
        <f>tsla!A15</f>
        <v>45305</v>
      </c>
      <c r="B15" s="2">
        <f>tsla!B15</f>
        <v>112</v>
      </c>
      <c r="C15" s="2">
        <f>tsla!C15</f>
        <v>113</v>
      </c>
      <c r="D15" s="2">
        <f>tsla!D15</f>
        <v>111</v>
      </c>
      <c r="E15" s="2">
        <f t="shared" si="0"/>
        <v>2</v>
      </c>
      <c r="F15" s="2">
        <f t="shared" si="5"/>
        <v>2</v>
      </c>
      <c r="G15" s="2">
        <f t="shared" si="6"/>
        <v>0</v>
      </c>
      <c r="H15" s="2">
        <f t="shared" si="1"/>
        <v>2</v>
      </c>
      <c r="I15" s="2">
        <f>AVERAGE(H2:H15)</f>
        <v>2.5</v>
      </c>
      <c r="J15" s="2">
        <f>I15*14</f>
        <v>35</v>
      </c>
      <c r="L15" s="2">
        <f t="shared" si="7"/>
        <v>1</v>
      </c>
      <c r="M15" s="2">
        <f t="shared" si="8"/>
        <v>-1</v>
      </c>
      <c r="N15" t="b">
        <f t="shared" si="9"/>
        <v>1</v>
      </c>
      <c r="O15" t="b">
        <f t="shared" si="10"/>
        <v>1</v>
      </c>
      <c r="P15" t="b">
        <f t="shared" si="11"/>
        <v>1</v>
      </c>
      <c r="Q15" s="2">
        <f t="shared" si="12"/>
        <v>1</v>
      </c>
      <c r="U15" t="b">
        <f t="shared" si="2"/>
        <v>0</v>
      </c>
      <c r="V15" t="b">
        <f t="shared" si="3"/>
        <v>0</v>
      </c>
      <c r="W15" t="b">
        <f t="shared" si="13"/>
        <v>0</v>
      </c>
      <c r="X15" s="2">
        <f t="shared" si="4"/>
        <v>0</v>
      </c>
      <c r="Y15">
        <f>AVERAGE(X2:X15)</f>
        <v>0.30769230769230771</v>
      </c>
      <c r="Z15" s="2">
        <f>Y15*14</f>
        <v>4.3076923076923084</v>
      </c>
      <c r="AD15" s="10"/>
      <c r="AE15" s="10"/>
    </row>
    <row r="16" spans="1:33" x14ac:dyDescent="0.25">
      <c r="A16" s="1">
        <f>tsla!A16</f>
        <v>45306</v>
      </c>
      <c r="B16" s="2">
        <f>tsla!B16</f>
        <v>113</v>
      </c>
      <c r="C16" s="2">
        <f>tsla!C16</f>
        <v>114</v>
      </c>
      <c r="D16" s="2">
        <f>tsla!D16</f>
        <v>112</v>
      </c>
      <c r="E16" s="2">
        <f t="shared" si="0"/>
        <v>2</v>
      </c>
      <c r="F16" s="2">
        <f t="shared" si="5"/>
        <v>2</v>
      </c>
      <c r="G16" s="2">
        <f t="shared" si="6"/>
        <v>0</v>
      </c>
      <c r="H16" s="2">
        <f t="shared" si="1"/>
        <v>2</v>
      </c>
      <c r="I16" s="2">
        <f>AVERAGE(H3:H16)</f>
        <v>2.5</v>
      </c>
      <c r="J16" s="2">
        <f>I16*14</f>
        <v>35</v>
      </c>
      <c r="L16" s="2">
        <f>C16-C15</f>
        <v>1</v>
      </c>
      <c r="M16" s="2">
        <f t="shared" si="8"/>
        <v>-1</v>
      </c>
      <c r="N16" t="b">
        <f t="shared" si="9"/>
        <v>1</v>
      </c>
      <c r="O16" t="b">
        <f t="shared" si="10"/>
        <v>1</v>
      </c>
      <c r="P16" t="b">
        <f t="shared" si="11"/>
        <v>1</v>
      </c>
      <c r="Q16" s="2">
        <f t="shared" si="12"/>
        <v>1</v>
      </c>
      <c r="R16" s="2">
        <f>AVERAGE(Q3:Q16)</f>
        <v>1.2142857142857142</v>
      </c>
      <c r="S16" s="2">
        <f>R16*14</f>
        <v>17</v>
      </c>
      <c r="U16" t="b">
        <f t="shared" si="2"/>
        <v>0</v>
      </c>
      <c r="V16" t="b">
        <f t="shared" si="3"/>
        <v>0</v>
      </c>
      <c r="W16" t="b">
        <f t="shared" si="13"/>
        <v>0</v>
      </c>
      <c r="X16" s="2">
        <f t="shared" si="4"/>
        <v>0</v>
      </c>
      <c r="Y16">
        <f>AVERAGE(X3:X16)</f>
        <v>0.2857142857142857</v>
      </c>
      <c r="Z16" s="2">
        <f t="shared" ref="Z16:Z31" si="14">Y16*14</f>
        <v>4</v>
      </c>
      <c r="AB16" s="10">
        <f>100 * (R16 / I16)</f>
        <v>48.571428571428562</v>
      </c>
      <c r="AC16" s="10">
        <f>100 * (Y16 / I16)</f>
        <v>11.428571428571429</v>
      </c>
      <c r="AD16" s="2">
        <f>AB16-AC16</f>
        <v>37.142857142857132</v>
      </c>
      <c r="AE16" s="2">
        <f>AB16+AC16</f>
        <v>59.999999999999993</v>
      </c>
      <c r="AF16" s="10">
        <f>100*ABS(AD16/AE16)</f>
        <v>61.904761904761898</v>
      </c>
    </row>
    <row r="17" spans="1:33" x14ac:dyDescent="0.25">
      <c r="A17" s="1">
        <f>A16+1</f>
        <v>45307</v>
      </c>
      <c r="B17" s="2">
        <f>B2</f>
        <v>100</v>
      </c>
      <c r="C17" s="2">
        <f>C2</f>
        <v>101</v>
      </c>
      <c r="D17" s="2">
        <f>D2</f>
        <v>99</v>
      </c>
      <c r="E17" s="2">
        <f t="shared" ref="E17:E31" si="15">C17-D17</f>
        <v>2</v>
      </c>
      <c r="F17" s="2">
        <f t="shared" ref="F17:F31" si="16">ABS(C17-B16)</f>
        <v>12</v>
      </c>
      <c r="G17" s="2">
        <f t="shared" ref="G17:G31" si="17">ABS(D17-B16)</f>
        <v>14</v>
      </c>
      <c r="H17" s="2">
        <f t="shared" ref="H17:H31" si="18">MAX(E17:G17)</f>
        <v>14</v>
      </c>
      <c r="I17" s="2">
        <f>AVERAGE(H4:H17)</f>
        <v>3.2857142857142856</v>
      </c>
      <c r="J17" s="2">
        <f t="shared" ref="J17:J31" si="19">I17*14</f>
        <v>46</v>
      </c>
      <c r="L17" s="2">
        <f t="shared" ref="L17:L31" si="20">C17-C16</f>
        <v>-13</v>
      </c>
      <c r="M17" s="2">
        <f>D16-D17</f>
        <v>13</v>
      </c>
      <c r="N17" t="b">
        <f t="shared" ref="N17:N31" si="21">L17&gt;M17</f>
        <v>0</v>
      </c>
      <c r="O17" t="b">
        <f t="shared" ref="O17:O31" si="22">L17&gt;0</f>
        <v>0</v>
      </c>
      <c r="P17" t="b">
        <f t="shared" ref="P17:P31" si="23">AND(N17:O17)</f>
        <v>0</v>
      </c>
      <c r="Q17" s="2">
        <f t="shared" ref="Q17:Q31" si="24">IF(P17,L17,0)</f>
        <v>0</v>
      </c>
      <c r="R17" s="2">
        <f>AVERAGE(Q4:Q17)</f>
        <v>1.0714285714285714</v>
      </c>
      <c r="S17" s="2">
        <f t="shared" ref="S17:S31" si="25">R17*14</f>
        <v>15</v>
      </c>
      <c r="U17" t="b">
        <f t="shared" ref="U17:U31" si="26">M17 &gt; L17</f>
        <v>1</v>
      </c>
      <c r="V17" t="b">
        <f t="shared" ref="V17:V31" si="27">M17 &gt; 0</f>
        <v>1</v>
      </c>
      <c r="W17" t="b">
        <f t="shared" ref="W17:W31" si="28">AND(U17:V17)</f>
        <v>1</v>
      </c>
      <c r="X17" s="2">
        <f t="shared" ref="X17:X31" si="29">IF(W17,M17, 0)</f>
        <v>13</v>
      </c>
      <c r="Y17">
        <f t="shared" ref="Y17:Y31" si="30">AVERAGE(X4:X17)</f>
        <v>1.2142857142857142</v>
      </c>
      <c r="Z17" s="2">
        <f t="shared" si="14"/>
        <v>17</v>
      </c>
      <c r="AB17" s="10">
        <f t="shared" ref="AB17:AB31" si="31">100 * (R17 / I17)</f>
        <v>32.608695652173914</v>
      </c>
      <c r="AC17" s="10">
        <f t="shared" ref="AC17:AC31" si="32">100 * (Y17 / I17)</f>
        <v>36.95652173913043</v>
      </c>
      <c r="AD17" s="2">
        <f t="shared" ref="AD17:AD31" si="33">AB17-AC17</f>
        <v>-4.3478260869565162</v>
      </c>
      <c r="AE17" s="2">
        <f t="shared" ref="AE17:AE31" si="34">AB17+AC17</f>
        <v>69.565217391304344</v>
      </c>
      <c r="AF17" s="10">
        <f t="shared" ref="AF17:AF31" si="35">100*ABS(AD17/AE17)</f>
        <v>6.249999999999992</v>
      </c>
    </row>
    <row r="18" spans="1:33" x14ac:dyDescent="0.25">
      <c r="A18" s="1">
        <f t="shared" ref="A18:A31" si="36">A17+1</f>
        <v>45308</v>
      </c>
      <c r="B18" s="2">
        <f t="shared" ref="B18:D30" si="37">B3</f>
        <v>102</v>
      </c>
      <c r="C18" s="2">
        <f t="shared" si="37"/>
        <v>103</v>
      </c>
      <c r="D18" s="2">
        <f t="shared" si="37"/>
        <v>101</v>
      </c>
      <c r="E18" s="2">
        <f t="shared" si="15"/>
        <v>2</v>
      </c>
      <c r="F18" s="2">
        <f t="shared" si="16"/>
        <v>3</v>
      </c>
      <c r="G18" s="2">
        <f t="shared" si="17"/>
        <v>1</v>
      </c>
      <c r="H18" s="2">
        <f t="shared" si="18"/>
        <v>3</v>
      </c>
      <c r="I18" s="2">
        <f t="shared" ref="I18:I30" si="38">AVERAGE(H5:H18)</f>
        <v>3.3571428571428572</v>
      </c>
      <c r="J18" s="2">
        <f t="shared" si="19"/>
        <v>47</v>
      </c>
      <c r="L18" s="2">
        <f t="shared" si="20"/>
        <v>2</v>
      </c>
      <c r="M18" s="8">
        <f>D17-D18</f>
        <v>-2</v>
      </c>
      <c r="N18" t="b">
        <f t="shared" si="21"/>
        <v>1</v>
      </c>
      <c r="O18" t="b">
        <f t="shared" si="22"/>
        <v>1</v>
      </c>
      <c r="P18" t="b">
        <f t="shared" si="23"/>
        <v>1</v>
      </c>
      <c r="Q18" s="2">
        <f t="shared" si="24"/>
        <v>2</v>
      </c>
      <c r="R18" s="2">
        <f t="shared" ref="R17:R31" si="39">AVERAGE(Q5:Q18)</f>
        <v>1.2142857142857142</v>
      </c>
      <c r="S18" s="2">
        <f t="shared" si="25"/>
        <v>17</v>
      </c>
      <c r="U18" t="b">
        <f t="shared" si="26"/>
        <v>0</v>
      </c>
      <c r="V18" t="b">
        <f t="shared" si="27"/>
        <v>0</v>
      </c>
      <c r="W18" t="b">
        <f t="shared" si="28"/>
        <v>0</v>
      </c>
      <c r="X18" s="2">
        <f t="shared" si="29"/>
        <v>0</v>
      </c>
      <c r="Y18">
        <f t="shared" si="30"/>
        <v>1.1428571428571428</v>
      </c>
      <c r="Z18" s="2">
        <f t="shared" si="14"/>
        <v>16</v>
      </c>
      <c r="AB18" s="10">
        <f t="shared" si="31"/>
        <v>36.170212765957444</v>
      </c>
      <c r="AC18" s="10">
        <f t="shared" si="32"/>
        <v>34.042553191489361</v>
      </c>
      <c r="AD18" s="2">
        <f t="shared" si="33"/>
        <v>2.1276595744680833</v>
      </c>
      <c r="AE18" s="2">
        <f t="shared" si="34"/>
        <v>70.212765957446805</v>
      </c>
      <c r="AF18" s="10">
        <f t="shared" si="35"/>
        <v>3.0303030303030281</v>
      </c>
    </row>
    <row r="19" spans="1:33" x14ac:dyDescent="0.25">
      <c r="A19" s="1">
        <f t="shared" si="36"/>
        <v>45309</v>
      </c>
      <c r="B19" s="2">
        <f t="shared" si="37"/>
        <v>101</v>
      </c>
      <c r="C19" s="2">
        <f t="shared" si="37"/>
        <v>102</v>
      </c>
      <c r="D19" s="2">
        <f t="shared" si="37"/>
        <v>100</v>
      </c>
      <c r="E19" s="2">
        <f t="shared" si="15"/>
        <v>2</v>
      </c>
      <c r="F19" s="2">
        <f t="shared" si="16"/>
        <v>0</v>
      </c>
      <c r="G19" s="2">
        <f t="shared" si="17"/>
        <v>2</v>
      </c>
      <c r="H19" s="2">
        <f t="shared" si="18"/>
        <v>2</v>
      </c>
      <c r="I19" s="2">
        <f>AVERAGE(H6:H19)</f>
        <v>3.2857142857142856</v>
      </c>
      <c r="J19" s="2">
        <f t="shared" si="19"/>
        <v>46</v>
      </c>
      <c r="L19" s="2">
        <f t="shared" si="20"/>
        <v>-1</v>
      </c>
      <c r="M19" s="2">
        <f>D18-D19</f>
        <v>1</v>
      </c>
      <c r="N19" t="b">
        <f t="shared" si="21"/>
        <v>0</v>
      </c>
      <c r="O19" t="b">
        <f t="shared" si="22"/>
        <v>0</v>
      </c>
      <c r="P19" t="b">
        <f t="shared" si="23"/>
        <v>0</v>
      </c>
      <c r="Q19" s="2">
        <f t="shared" si="24"/>
        <v>0</v>
      </c>
      <c r="R19" s="2">
        <f t="shared" si="39"/>
        <v>1.0714285714285714</v>
      </c>
      <c r="S19" s="2">
        <f t="shared" si="25"/>
        <v>15</v>
      </c>
      <c r="U19" t="b">
        <f t="shared" si="26"/>
        <v>1</v>
      </c>
      <c r="V19" t="b">
        <f t="shared" si="27"/>
        <v>1</v>
      </c>
      <c r="W19" t="b">
        <f t="shared" si="28"/>
        <v>1</v>
      </c>
      <c r="X19" s="2">
        <f t="shared" si="29"/>
        <v>1</v>
      </c>
      <c r="Y19">
        <f t="shared" si="30"/>
        <v>1.2142857142857142</v>
      </c>
      <c r="Z19" s="2">
        <f t="shared" si="14"/>
        <v>17</v>
      </c>
      <c r="AB19" s="10">
        <f t="shared" si="31"/>
        <v>32.608695652173914</v>
      </c>
      <c r="AC19" s="10">
        <f t="shared" si="32"/>
        <v>36.95652173913043</v>
      </c>
      <c r="AD19" s="2">
        <f t="shared" si="33"/>
        <v>-4.3478260869565162</v>
      </c>
      <c r="AE19" s="2">
        <f t="shared" si="34"/>
        <v>69.565217391304344</v>
      </c>
      <c r="AF19" s="10">
        <f t="shared" si="35"/>
        <v>6.249999999999992</v>
      </c>
    </row>
    <row r="20" spans="1:33" x14ac:dyDescent="0.25">
      <c r="A20" s="1">
        <f t="shared" si="36"/>
        <v>45310</v>
      </c>
      <c r="B20" s="2">
        <f t="shared" si="37"/>
        <v>103</v>
      </c>
      <c r="C20" s="2">
        <f t="shared" si="37"/>
        <v>104</v>
      </c>
      <c r="D20" s="2">
        <f t="shared" si="37"/>
        <v>102</v>
      </c>
      <c r="E20" s="2">
        <f t="shared" si="15"/>
        <v>2</v>
      </c>
      <c r="F20" s="2">
        <f t="shared" si="16"/>
        <v>3</v>
      </c>
      <c r="G20" s="2">
        <f t="shared" si="17"/>
        <v>1</v>
      </c>
      <c r="H20" s="2">
        <f t="shared" si="18"/>
        <v>3</v>
      </c>
      <c r="I20" s="2">
        <f t="shared" si="38"/>
        <v>3.3571428571428572</v>
      </c>
      <c r="J20" s="2">
        <f t="shared" si="19"/>
        <v>47</v>
      </c>
      <c r="L20" s="2">
        <f t="shared" si="20"/>
        <v>2</v>
      </c>
      <c r="M20" s="2">
        <f>D19-D20</f>
        <v>-2</v>
      </c>
      <c r="N20" t="b">
        <f t="shared" si="21"/>
        <v>1</v>
      </c>
      <c r="O20" t="b">
        <f t="shared" si="22"/>
        <v>1</v>
      </c>
      <c r="P20" t="b">
        <f t="shared" si="23"/>
        <v>1</v>
      </c>
      <c r="Q20" s="2">
        <f t="shared" si="24"/>
        <v>2</v>
      </c>
      <c r="R20" s="2">
        <f t="shared" si="39"/>
        <v>1.2142857142857142</v>
      </c>
      <c r="S20" s="2">
        <f t="shared" si="25"/>
        <v>17</v>
      </c>
      <c r="U20" t="b">
        <f t="shared" si="26"/>
        <v>0</v>
      </c>
      <c r="V20" t="b">
        <f t="shared" si="27"/>
        <v>0</v>
      </c>
      <c r="W20" t="b">
        <f t="shared" si="28"/>
        <v>0</v>
      </c>
      <c r="X20" s="2">
        <f t="shared" si="29"/>
        <v>0</v>
      </c>
      <c r="Y20">
        <f t="shared" si="30"/>
        <v>1.1428571428571428</v>
      </c>
      <c r="Z20" s="2">
        <f t="shared" si="14"/>
        <v>16</v>
      </c>
      <c r="AB20" s="10">
        <f t="shared" si="31"/>
        <v>36.170212765957444</v>
      </c>
      <c r="AC20" s="10">
        <f t="shared" si="32"/>
        <v>34.042553191489361</v>
      </c>
      <c r="AD20" s="2">
        <f t="shared" si="33"/>
        <v>2.1276595744680833</v>
      </c>
      <c r="AE20" s="2">
        <f t="shared" si="34"/>
        <v>70.212765957446805</v>
      </c>
      <c r="AF20" s="10">
        <f t="shared" si="35"/>
        <v>3.0303030303030281</v>
      </c>
    </row>
    <row r="21" spans="1:33" x14ac:dyDescent="0.25">
      <c r="A21" s="1">
        <f t="shared" si="36"/>
        <v>45311</v>
      </c>
      <c r="B21" s="2">
        <f t="shared" si="37"/>
        <v>102</v>
      </c>
      <c r="C21" s="2">
        <f t="shared" si="37"/>
        <v>103</v>
      </c>
      <c r="D21" s="2">
        <f t="shared" si="37"/>
        <v>101</v>
      </c>
      <c r="E21" s="2">
        <f t="shared" si="15"/>
        <v>2</v>
      </c>
      <c r="F21" s="2">
        <f t="shared" si="16"/>
        <v>0</v>
      </c>
      <c r="G21" s="2">
        <f t="shared" si="17"/>
        <v>2</v>
      </c>
      <c r="H21" s="2">
        <f t="shared" si="18"/>
        <v>2</v>
      </c>
      <c r="I21" s="2">
        <f t="shared" si="38"/>
        <v>3.2857142857142856</v>
      </c>
      <c r="J21" s="2">
        <f t="shared" si="19"/>
        <v>46</v>
      </c>
      <c r="L21" s="2">
        <f t="shared" si="20"/>
        <v>-1</v>
      </c>
      <c r="M21" s="2">
        <f>D20-D21</f>
        <v>1</v>
      </c>
      <c r="N21" t="b">
        <f t="shared" si="21"/>
        <v>0</v>
      </c>
      <c r="O21" t="b">
        <f t="shared" si="22"/>
        <v>0</v>
      </c>
      <c r="P21" t="b">
        <f t="shared" si="23"/>
        <v>0</v>
      </c>
      <c r="Q21" s="2">
        <f t="shared" si="24"/>
        <v>0</v>
      </c>
      <c r="R21" s="2">
        <f t="shared" si="39"/>
        <v>1.0714285714285714</v>
      </c>
      <c r="S21" s="2">
        <f t="shared" si="25"/>
        <v>15</v>
      </c>
      <c r="U21" t="b">
        <f t="shared" si="26"/>
        <v>1</v>
      </c>
      <c r="V21" t="b">
        <f t="shared" si="27"/>
        <v>1</v>
      </c>
      <c r="W21" t="b">
        <f t="shared" si="28"/>
        <v>1</v>
      </c>
      <c r="X21" s="2">
        <f t="shared" si="29"/>
        <v>1</v>
      </c>
      <c r="Y21">
        <f t="shared" si="30"/>
        <v>1.2142857142857142</v>
      </c>
      <c r="Z21" s="2">
        <f t="shared" si="14"/>
        <v>17</v>
      </c>
      <c r="AB21" s="10">
        <f t="shared" si="31"/>
        <v>32.608695652173914</v>
      </c>
      <c r="AC21" s="10">
        <f t="shared" si="32"/>
        <v>36.95652173913043</v>
      </c>
      <c r="AD21" s="2">
        <f t="shared" si="33"/>
        <v>-4.3478260869565162</v>
      </c>
      <c r="AE21" s="2">
        <f t="shared" si="34"/>
        <v>69.565217391304344</v>
      </c>
      <c r="AF21" s="10">
        <f t="shared" si="35"/>
        <v>6.249999999999992</v>
      </c>
    </row>
    <row r="22" spans="1:33" x14ac:dyDescent="0.25">
      <c r="A22" s="1">
        <f t="shared" si="36"/>
        <v>45312</v>
      </c>
      <c r="B22" s="2">
        <f t="shared" si="37"/>
        <v>104</v>
      </c>
      <c r="C22" s="2">
        <f t="shared" si="37"/>
        <v>105</v>
      </c>
      <c r="D22" s="2">
        <f t="shared" si="37"/>
        <v>103</v>
      </c>
      <c r="E22" s="2">
        <f t="shared" si="15"/>
        <v>2</v>
      </c>
      <c r="F22" s="2">
        <f t="shared" si="16"/>
        <v>3</v>
      </c>
      <c r="G22" s="2">
        <f t="shared" si="17"/>
        <v>1</v>
      </c>
      <c r="H22" s="2">
        <f t="shared" si="18"/>
        <v>3</v>
      </c>
      <c r="I22" s="2">
        <f>AVERAGE(H9:H22)</f>
        <v>3.2857142857142856</v>
      </c>
      <c r="J22" s="2">
        <f t="shared" si="19"/>
        <v>46</v>
      </c>
      <c r="L22" s="2">
        <f t="shared" si="20"/>
        <v>2</v>
      </c>
      <c r="M22" s="2">
        <f>D21-D22</f>
        <v>-2</v>
      </c>
      <c r="N22" t="b">
        <f t="shared" si="21"/>
        <v>1</v>
      </c>
      <c r="O22" t="b">
        <f t="shared" si="22"/>
        <v>1</v>
      </c>
      <c r="P22" t="b">
        <f t="shared" si="23"/>
        <v>1</v>
      </c>
      <c r="Q22" s="2">
        <f t="shared" si="24"/>
        <v>2</v>
      </c>
      <c r="R22" s="2">
        <f t="shared" si="39"/>
        <v>1.0714285714285714</v>
      </c>
      <c r="S22" s="2">
        <f t="shared" si="25"/>
        <v>15</v>
      </c>
      <c r="U22" t="b">
        <f t="shared" si="26"/>
        <v>0</v>
      </c>
      <c r="V22" t="b">
        <f t="shared" si="27"/>
        <v>0</v>
      </c>
      <c r="W22" t="b">
        <f t="shared" si="28"/>
        <v>0</v>
      </c>
      <c r="X22" s="2">
        <f t="shared" si="29"/>
        <v>0</v>
      </c>
      <c r="Y22">
        <f t="shared" si="30"/>
        <v>1.2142857142857142</v>
      </c>
      <c r="Z22" s="2">
        <f t="shared" si="14"/>
        <v>17</v>
      </c>
      <c r="AB22" s="10">
        <f t="shared" si="31"/>
        <v>32.608695652173914</v>
      </c>
      <c r="AC22" s="10">
        <f t="shared" si="32"/>
        <v>36.95652173913043</v>
      </c>
      <c r="AD22" s="2">
        <f t="shared" si="33"/>
        <v>-4.3478260869565162</v>
      </c>
      <c r="AE22" s="2">
        <f t="shared" si="34"/>
        <v>69.565217391304344</v>
      </c>
      <c r="AF22" s="10">
        <f t="shared" si="35"/>
        <v>6.249999999999992</v>
      </c>
    </row>
    <row r="23" spans="1:33" x14ac:dyDescent="0.25">
      <c r="A23" s="1">
        <f t="shared" si="36"/>
        <v>45313</v>
      </c>
      <c r="B23" s="2">
        <f t="shared" si="37"/>
        <v>106</v>
      </c>
      <c r="C23" s="2">
        <f t="shared" si="37"/>
        <v>107</v>
      </c>
      <c r="D23" s="2">
        <f t="shared" si="37"/>
        <v>105</v>
      </c>
      <c r="E23" s="2">
        <f t="shared" si="15"/>
        <v>2</v>
      </c>
      <c r="F23" s="2">
        <f t="shared" si="16"/>
        <v>3</v>
      </c>
      <c r="G23" s="2">
        <f t="shared" si="17"/>
        <v>1</v>
      </c>
      <c r="H23" s="2">
        <f t="shared" si="18"/>
        <v>3</v>
      </c>
      <c r="I23" s="2">
        <f t="shared" si="38"/>
        <v>3.3571428571428572</v>
      </c>
      <c r="J23" s="2">
        <f t="shared" si="19"/>
        <v>47</v>
      </c>
      <c r="L23" s="2">
        <f t="shared" si="20"/>
        <v>2</v>
      </c>
      <c r="M23" s="2">
        <f>D22-D23</f>
        <v>-2</v>
      </c>
      <c r="N23" t="b">
        <f t="shared" si="21"/>
        <v>1</v>
      </c>
      <c r="O23" t="b">
        <f t="shared" si="22"/>
        <v>1</v>
      </c>
      <c r="P23" t="b">
        <f t="shared" si="23"/>
        <v>1</v>
      </c>
      <c r="Q23" s="2">
        <f t="shared" si="24"/>
        <v>2</v>
      </c>
      <c r="R23" s="2">
        <f t="shared" si="39"/>
        <v>1.2142857142857142</v>
      </c>
      <c r="S23" s="2">
        <f t="shared" si="25"/>
        <v>17</v>
      </c>
      <c r="U23" t="b">
        <f t="shared" si="26"/>
        <v>0</v>
      </c>
      <c r="V23" t="b">
        <f t="shared" si="27"/>
        <v>0</v>
      </c>
      <c r="W23" t="b">
        <f t="shared" si="28"/>
        <v>0</v>
      </c>
      <c r="X23" s="2">
        <f t="shared" si="29"/>
        <v>0</v>
      </c>
      <c r="Y23">
        <f t="shared" si="30"/>
        <v>1.1428571428571428</v>
      </c>
      <c r="Z23" s="2">
        <f t="shared" si="14"/>
        <v>16</v>
      </c>
      <c r="AB23" s="10">
        <f t="shared" si="31"/>
        <v>36.170212765957444</v>
      </c>
      <c r="AC23" s="10">
        <f t="shared" si="32"/>
        <v>34.042553191489361</v>
      </c>
      <c r="AD23" s="2">
        <f t="shared" si="33"/>
        <v>2.1276595744680833</v>
      </c>
      <c r="AE23" s="2">
        <f t="shared" si="34"/>
        <v>70.212765957446805</v>
      </c>
      <c r="AF23" s="10">
        <f t="shared" si="35"/>
        <v>3.0303030303030281</v>
      </c>
    </row>
    <row r="24" spans="1:33" x14ac:dyDescent="0.25">
      <c r="A24" s="1">
        <f t="shared" si="36"/>
        <v>45314</v>
      </c>
      <c r="B24" s="2">
        <f t="shared" si="37"/>
        <v>105</v>
      </c>
      <c r="C24" s="2">
        <f t="shared" si="37"/>
        <v>106</v>
      </c>
      <c r="D24" s="2">
        <f t="shared" si="37"/>
        <v>104</v>
      </c>
      <c r="E24" s="2">
        <f t="shared" si="15"/>
        <v>2</v>
      </c>
      <c r="F24" s="2">
        <f t="shared" si="16"/>
        <v>0</v>
      </c>
      <c r="G24" s="2">
        <f t="shared" si="17"/>
        <v>2</v>
      </c>
      <c r="H24" s="2">
        <f t="shared" si="18"/>
        <v>2</v>
      </c>
      <c r="I24" s="2">
        <f t="shared" si="38"/>
        <v>3.2857142857142856</v>
      </c>
      <c r="J24" s="2">
        <f t="shared" si="19"/>
        <v>46</v>
      </c>
      <c r="L24" s="2">
        <f t="shared" si="20"/>
        <v>-1</v>
      </c>
      <c r="M24" s="2">
        <f>D23-D24</f>
        <v>1</v>
      </c>
      <c r="N24" t="b">
        <f t="shared" si="21"/>
        <v>0</v>
      </c>
      <c r="O24" t="b">
        <f t="shared" si="22"/>
        <v>0</v>
      </c>
      <c r="P24" t="b">
        <f t="shared" si="23"/>
        <v>0</v>
      </c>
      <c r="Q24" s="2">
        <f t="shared" si="24"/>
        <v>0</v>
      </c>
      <c r="R24" s="2">
        <f t="shared" si="39"/>
        <v>1.0714285714285714</v>
      </c>
      <c r="S24" s="2">
        <f t="shared" si="25"/>
        <v>15</v>
      </c>
      <c r="U24" t="b">
        <f t="shared" si="26"/>
        <v>1</v>
      </c>
      <c r="V24" t="b">
        <f t="shared" si="27"/>
        <v>1</v>
      </c>
      <c r="W24" t="b">
        <f t="shared" si="28"/>
        <v>1</v>
      </c>
      <c r="X24" s="2">
        <f t="shared" si="29"/>
        <v>1</v>
      </c>
      <c r="Y24">
        <f t="shared" si="30"/>
        <v>1.2142857142857142</v>
      </c>
      <c r="Z24" s="2">
        <f t="shared" si="14"/>
        <v>17</v>
      </c>
      <c r="AB24" s="10">
        <f t="shared" si="31"/>
        <v>32.608695652173914</v>
      </c>
      <c r="AC24" s="10">
        <f t="shared" si="32"/>
        <v>36.95652173913043</v>
      </c>
      <c r="AD24" s="2">
        <f t="shared" si="33"/>
        <v>-4.3478260869565162</v>
      </c>
      <c r="AE24" s="2">
        <f t="shared" si="34"/>
        <v>69.565217391304344</v>
      </c>
      <c r="AF24" s="10">
        <f t="shared" si="35"/>
        <v>6.249999999999992</v>
      </c>
    </row>
    <row r="25" spans="1:33" x14ac:dyDescent="0.25">
      <c r="A25" s="1">
        <f t="shared" si="36"/>
        <v>45315</v>
      </c>
      <c r="B25" s="2">
        <f t="shared" si="37"/>
        <v>107</v>
      </c>
      <c r="C25" s="2">
        <f t="shared" si="37"/>
        <v>108</v>
      </c>
      <c r="D25" s="2">
        <f t="shared" si="37"/>
        <v>106</v>
      </c>
      <c r="E25" s="2">
        <f t="shared" si="15"/>
        <v>2</v>
      </c>
      <c r="F25" s="2">
        <f t="shared" si="16"/>
        <v>3</v>
      </c>
      <c r="G25" s="2">
        <f t="shared" si="17"/>
        <v>1</v>
      </c>
      <c r="H25" s="2">
        <f t="shared" si="18"/>
        <v>3</v>
      </c>
      <c r="I25" s="2">
        <f t="shared" si="38"/>
        <v>3.3571428571428572</v>
      </c>
      <c r="J25" s="2">
        <f t="shared" si="19"/>
        <v>47</v>
      </c>
      <c r="L25" s="2">
        <f t="shared" si="20"/>
        <v>2</v>
      </c>
      <c r="M25" s="2">
        <f>D24-D25</f>
        <v>-2</v>
      </c>
      <c r="N25" t="b">
        <f t="shared" si="21"/>
        <v>1</v>
      </c>
      <c r="O25" t="b">
        <f t="shared" si="22"/>
        <v>1</v>
      </c>
      <c r="P25" t="b">
        <f t="shared" si="23"/>
        <v>1</v>
      </c>
      <c r="Q25" s="2">
        <f t="shared" si="24"/>
        <v>2</v>
      </c>
      <c r="R25" s="2">
        <f t="shared" si="39"/>
        <v>1.1428571428571428</v>
      </c>
      <c r="S25" s="2">
        <f t="shared" si="25"/>
        <v>16</v>
      </c>
      <c r="U25" t="b">
        <f t="shared" si="26"/>
        <v>0</v>
      </c>
      <c r="V25" t="b">
        <f t="shared" si="27"/>
        <v>0</v>
      </c>
      <c r="W25" t="b">
        <f t="shared" si="28"/>
        <v>0</v>
      </c>
      <c r="X25" s="2">
        <f t="shared" si="29"/>
        <v>0</v>
      </c>
      <c r="Y25">
        <f t="shared" si="30"/>
        <v>1.2142857142857142</v>
      </c>
      <c r="Z25" s="2">
        <f t="shared" si="14"/>
        <v>17</v>
      </c>
      <c r="AB25" s="10">
        <f t="shared" si="31"/>
        <v>34.042553191489361</v>
      </c>
      <c r="AC25" s="10">
        <f t="shared" si="32"/>
        <v>36.170212765957444</v>
      </c>
      <c r="AD25" s="2">
        <f t="shared" si="33"/>
        <v>-2.1276595744680833</v>
      </c>
      <c r="AE25" s="2">
        <f t="shared" si="34"/>
        <v>70.212765957446805</v>
      </c>
      <c r="AF25" s="10">
        <f t="shared" si="35"/>
        <v>3.0303030303030281</v>
      </c>
    </row>
    <row r="26" spans="1:33" x14ac:dyDescent="0.25">
      <c r="A26" s="1">
        <f t="shared" si="36"/>
        <v>45316</v>
      </c>
      <c r="B26" s="2">
        <f t="shared" si="37"/>
        <v>108</v>
      </c>
      <c r="C26" s="2">
        <f t="shared" si="37"/>
        <v>109</v>
      </c>
      <c r="D26" s="2">
        <f t="shared" si="37"/>
        <v>107</v>
      </c>
      <c r="E26" s="2">
        <f t="shared" si="15"/>
        <v>2</v>
      </c>
      <c r="F26" s="2">
        <f t="shared" si="16"/>
        <v>2</v>
      </c>
      <c r="G26" s="2">
        <f t="shared" si="17"/>
        <v>0</v>
      </c>
      <c r="H26" s="2">
        <f t="shared" si="18"/>
        <v>2</v>
      </c>
      <c r="I26" s="2">
        <f t="shared" si="38"/>
        <v>3.2857142857142856</v>
      </c>
      <c r="J26" s="2">
        <f t="shared" si="19"/>
        <v>46</v>
      </c>
      <c r="L26" s="2">
        <f t="shared" si="20"/>
        <v>1</v>
      </c>
      <c r="M26" s="2">
        <f>D25-D26</f>
        <v>-1</v>
      </c>
      <c r="N26" t="b">
        <f t="shared" si="21"/>
        <v>1</v>
      </c>
      <c r="O26" t="b">
        <f t="shared" si="22"/>
        <v>1</v>
      </c>
      <c r="P26" t="b">
        <f t="shared" si="23"/>
        <v>1</v>
      </c>
      <c r="Q26" s="2">
        <f t="shared" si="24"/>
        <v>1</v>
      </c>
      <c r="R26" s="2">
        <f t="shared" si="39"/>
        <v>1.0714285714285714</v>
      </c>
      <c r="S26" s="2">
        <f t="shared" si="25"/>
        <v>15</v>
      </c>
      <c r="U26" t="b">
        <f t="shared" si="26"/>
        <v>0</v>
      </c>
      <c r="V26" t="b">
        <f t="shared" si="27"/>
        <v>0</v>
      </c>
      <c r="W26" t="b">
        <f t="shared" si="28"/>
        <v>0</v>
      </c>
      <c r="X26" s="2">
        <f t="shared" si="29"/>
        <v>0</v>
      </c>
      <c r="Y26">
        <f t="shared" si="30"/>
        <v>1.2142857142857142</v>
      </c>
      <c r="Z26" s="2">
        <f t="shared" si="14"/>
        <v>17</v>
      </c>
      <c r="AB26" s="10">
        <f t="shared" si="31"/>
        <v>32.608695652173914</v>
      </c>
      <c r="AC26" s="10">
        <f t="shared" si="32"/>
        <v>36.95652173913043</v>
      </c>
      <c r="AD26" s="2">
        <f t="shared" si="33"/>
        <v>-4.3478260869565162</v>
      </c>
      <c r="AE26" s="2">
        <f t="shared" si="34"/>
        <v>69.565217391304344</v>
      </c>
      <c r="AF26" s="10">
        <f t="shared" si="35"/>
        <v>6.249999999999992</v>
      </c>
    </row>
    <row r="27" spans="1:33" x14ac:dyDescent="0.25">
      <c r="A27" s="1">
        <f t="shared" si="36"/>
        <v>45317</v>
      </c>
      <c r="B27" s="2">
        <f t="shared" si="37"/>
        <v>110</v>
      </c>
      <c r="C27" s="2">
        <f t="shared" si="37"/>
        <v>111</v>
      </c>
      <c r="D27" s="2">
        <f t="shared" si="37"/>
        <v>109</v>
      </c>
      <c r="E27" s="2">
        <f t="shared" si="15"/>
        <v>2</v>
      </c>
      <c r="F27" s="2">
        <f t="shared" si="16"/>
        <v>3</v>
      </c>
      <c r="G27" s="2">
        <f t="shared" si="17"/>
        <v>1</v>
      </c>
      <c r="H27" s="2">
        <f t="shared" si="18"/>
        <v>3</v>
      </c>
      <c r="I27" s="2">
        <f t="shared" si="38"/>
        <v>3.3571428571428572</v>
      </c>
      <c r="J27" s="2">
        <f t="shared" si="19"/>
        <v>47</v>
      </c>
      <c r="L27" s="2">
        <f t="shared" si="20"/>
        <v>2</v>
      </c>
      <c r="M27" s="2">
        <f>D26-D27</f>
        <v>-2</v>
      </c>
      <c r="N27" t="b">
        <f t="shared" si="21"/>
        <v>1</v>
      </c>
      <c r="O27" t="b">
        <f t="shared" si="22"/>
        <v>1</v>
      </c>
      <c r="P27" t="b">
        <f t="shared" si="23"/>
        <v>1</v>
      </c>
      <c r="Q27" s="2">
        <f t="shared" si="24"/>
        <v>2</v>
      </c>
      <c r="R27" s="2">
        <f t="shared" si="39"/>
        <v>1.2142857142857142</v>
      </c>
      <c r="S27" s="2">
        <f t="shared" si="25"/>
        <v>17</v>
      </c>
      <c r="U27" t="b">
        <f t="shared" si="26"/>
        <v>0</v>
      </c>
      <c r="V27" t="b">
        <f t="shared" si="27"/>
        <v>0</v>
      </c>
      <c r="W27" t="b">
        <f t="shared" si="28"/>
        <v>0</v>
      </c>
      <c r="X27" s="2">
        <f t="shared" si="29"/>
        <v>0</v>
      </c>
      <c r="Y27">
        <f t="shared" si="30"/>
        <v>1.1428571428571428</v>
      </c>
      <c r="Z27" s="2">
        <f t="shared" si="14"/>
        <v>16</v>
      </c>
      <c r="AB27" s="10">
        <f t="shared" si="31"/>
        <v>36.170212765957444</v>
      </c>
      <c r="AC27" s="10">
        <f t="shared" si="32"/>
        <v>34.042553191489361</v>
      </c>
      <c r="AD27" s="2">
        <f t="shared" si="33"/>
        <v>2.1276595744680833</v>
      </c>
      <c r="AE27" s="2">
        <f t="shared" si="34"/>
        <v>70.212765957446805</v>
      </c>
      <c r="AF27" s="10">
        <f t="shared" si="35"/>
        <v>3.0303030303030281</v>
      </c>
    </row>
    <row r="28" spans="1:33" x14ac:dyDescent="0.25">
      <c r="A28" s="1">
        <f t="shared" si="36"/>
        <v>45318</v>
      </c>
      <c r="B28" s="2">
        <f t="shared" si="37"/>
        <v>109</v>
      </c>
      <c r="C28" s="2">
        <f t="shared" si="37"/>
        <v>110</v>
      </c>
      <c r="D28" s="2">
        <f t="shared" si="37"/>
        <v>108</v>
      </c>
      <c r="E28" s="2">
        <f t="shared" si="15"/>
        <v>2</v>
      </c>
      <c r="F28" s="2">
        <f t="shared" si="16"/>
        <v>0</v>
      </c>
      <c r="G28" s="2">
        <f t="shared" si="17"/>
        <v>2</v>
      </c>
      <c r="H28" s="2">
        <f t="shared" si="18"/>
        <v>2</v>
      </c>
      <c r="I28" s="2">
        <f t="shared" si="38"/>
        <v>3.2857142857142856</v>
      </c>
      <c r="J28" s="2">
        <f t="shared" si="19"/>
        <v>46</v>
      </c>
      <c r="L28" s="2">
        <f t="shared" si="20"/>
        <v>-1</v>
      </c>
      <c r="M28" s="2">
        <f>D27-D28</f>
        <v>1</v>
      </c>
      <c r="N28" t="b">
        <f t="shared" si="21"/>
        <v>0</v>
      </c>
      <c r="O28" t="b">
        <f t="shared" si="22"/>
        <v>0</v>
      </c>
      <c r="P28" t="b">
        <f t="shared" si="23"/>
        <v>0</v>
      </c>
      <c r="Q28" s="2">
        <f t="shared" si="24"/>
        <v>0</v>
      </c>
      <c r="R28" s="2">
        <f t="shared" si="39"/>
        <v>1.0714285714285714</v>
      </c>
      <c r="S28" s="2">
        <f t="shared" si="25"/>
        <v>15</v>
      </c>
      <c r="U28" t="b">
        <f t="shared" si="26"/>
        <v>1</v>
      </c>
      <c r="V28" t="b">
        <f t="shared" si="27"/>
        <v>1</v>
      </c>
      <c r="W28" t="b">
        <f t="shared" si="28"/>
        <v>1</v>
      </c>
      <c r="X28" s="2">
        <f t="shared" si="29"/>
        <v>1</v>
      </c>
      <c r="Y28">
        <f t="shared" si="30"/>
        <v>1.2142857142857142</v>
      </c>
      <c r="Z28" s="2">
        <f t="shared" si="14"/>
        <v>17</v>
      </c>
      <c r="AB28" s="10">
        <f t="shared" si="31"/>
        <v>32.608695652173914</v>
      </c>
      <c r="AC28" s="10">
        <f t="shared" si="32"/>
        <v>36.95652173913043</v>
      </c>
      <c r="AD28" s="2">
        <f t="shared" si="33"/>
        <v>-4.3478260869565162</v>
      </c>
      <c r="AE28" s="2">
        <f t="shared" si="34"/>
        <v>69.565217391304344</v>
      </c>
      <c r="AF28" s="10">
        <f t="shared" si="35"/>
        <v>6.249999999999992</v>
      </c>
    </row>
    <row r="29" spans="1:33" x14ac:dyDescent="0.25">
      <c r="A29" s="1">
        <f t="shared" si="36"/>
        <v>45319</v>
      </c>
      <c r="B29" s="2">
        <f t="shared" si="37"/>
        <v>111</v>
      </c>
      <c r="C29" s="2">
        <f t="shared" si="37"/>
        <v>112</v>
      </c>
      <c r="D29" s="2">
        <f t="shared" si="37"/>
        <v>110</v>
      </c>
      <c r="E29" s="2">
        <f t="shared" si="15"/>
        <v>2</v>
      </c>
      <c r="F29" s="2">
        <f t="shared" si="16"/>
        <v>3</v>
      </c>
      <c r="G29" s="2">
        <f t="shared" si="17"/>
        <v>1</v>
      </c>
      <c r="H29" s="2">
        <f t="shared" si="18"/>
        <v>3</v>
      </c>
      <c r="I29" s="2">
        <f t="shared" si="38"/>
        <v>3.3571428571428572</v>
      </c>
      <c r="J29" s="2">
        <f t="shared" si="19"/>
        <v>47</v>
      </c>
      <c r="L29" s="2">
        <f t="shared" si="20"/>
        <v>2</v>
      </c>
      <c r="M29" s="2">
        <f>D28-D29</f>
        <v>-2</v>
      </c>
      <c r="N29" t="b">
        <f t="shared" si="21"/>
        <v>1</v>
      </c>
      <c r="O29" t="b">
        <f t="shared" si="22"/>
        <v>1</v>
      </c>
      <c r="P29" t="b">
        <f t="shared" si="23"/>
        <v>1</v>
      </c>
      <c r="Q29" s="2">
        <f t="shared" si="24"/>
        <v>2</v>
      </c>
      <c r="R29" s="2">
        <f t="shared" si="39"/>
        <v>1.1428571428571428</v>
      </c>
      <c r="S29" s="2">
        <f t="shared" si="25"/>
        <v>16</v>
      </c>
      <c r="U29" t="b">
        <f t="shared" si="26"/>
        <v>0</v>
      </c>
      <c r="V29" t="b">
        <f t="shared" si="27"/>
        <v>0</v>
      </c>
      <c r="W29" t="b">
        <f t="shared" si="28"/>
        <v>0</v>
      </c>
      <c r="X29" s="2">
        <f t="shared" si="29"/>
        <v>0</v>
      </c>
      <c r="Y29">
        <f t="shared" si="30"/>
        <v>1.2142857142857142</v>
      </c>
      <c r="Z29" s="2">
        <f t="shared" si="14"/>
        <v>17</v>
      </c>
      <c r="AB29" s="10">
        <f t="shared" si="31"/>
        <v>34.042553191489361</v>
      </c>
      <c r="AC29" s="10">
        <f t="shared" si="32"/>
        <v>36.170212765957444</v>
      </c>
      <c r="AD29" s="2">
        <f t="shared" si="33"/>
        <v>-2.1276595744680833</v>
      </c>
      <c r="AE29" s="2">
        <f t="shared" si="34"/>
        <v>70.212765957446805</v>
      </c>
      <c r="AF29" s="10">
        <f t="shared" si="35"/>
        <v>3.0303030303030281</v>
      </c>
      <c r="AG29" s="2">
        <f>AVERAGE(AF16:AF29)</f>
        <v>8.8454700061842839</v>
      </c>
    </row>
    <row r="30" spans="1:33" x14ac:dyDescent="0.25">
      <c r="A30" s="1">
        <f t="shared" si="36"/>
        <v>45320</v>
      </c>
      <c r="B30" s="2">
        <f t="shared" si="37"/>
        <v>112</v>
      </c>
      <c r="C30" s="2">
        <f t="shared" si="37"/>
        <v>113</v>
      </c>
      <c r="D30" s="2">
        <f t="shared" si="37"/>
        <v>111</v>
      </c>
      <c r="E30" s="2">
        <f t="shared" si="15"/>
        <v>2</v>
      </c>
      <c r="F30" s="2">
        <f t="shared" si="16"/>
        <v>2</v>
      </c>
      <c r="G30" s="2">
        <f t="shared" si="17"/>
        <v>0</v>
      </c>
      <c r="H30" s="2">
        <f t="shared" si="18"/>
        <v>2</v>
      </c>
      <c r="I30" s="2">
        <f t="shared" si="38"/>
        <v>3.3571428571428572</v>
      </c>
      <c r="J30" s="2">
        <f t="shared" si="19"/>
        <v>47</v>
      </c>
      <c r="L30" s="2">
        <f t="shared" si="20"/>
        <v>1</v>
      </c>
      <c r="M30" s="2">
        <f>D29-D30</f>
        <v>-1</v>
      </c>
      <c r="N30" t="b">
        <f t="shared" si="21"/>
        <v>1</v>
      </c>
      <c r="O30" t="b">
        <f t="shared" si="22"/>
        <v>1</v>
      </c>
      <c r="P30" t="b">
        <f t="shared" si="23"/>
        <v>1</v>
      </c>
      <c r="Q30" s="2">
        <f t="shared" si="24"/>
        <v>1</v>
      </c>
      <c r="R30" s="2">
        <f t="shared" si="39"/>
        <v>1.1428571428571428</v>
      </c>
      <c r="S30" s="2">
        <f t="shared" si="25"/>
        <v>16</v>
      </c>
      <c r="U30" t="b">
        <f t="shared" si="26"/>
        <v>0</v>
      </c>
      <c r="V30" t="b">
        <f t="shared" si="27"/>
        <v>0</v>
      </c>
      <c r="W30" t="b">
        <f t="shared" si="28"/>
        <v>0</v>
      </c>
      <c r="X30" s="2">
        <f t="shared" si="29"/>
        <v>0</v>
      </c>
      <c r="Y30">
        <f t="shared" si="30"/>
        <v>1.2142857142857142</v>
      </c>
      <c r="Z30" s="2">
        <f t="shared" si="14"/>
        <v>17</v>
      </c>
      <c r="AB30" s="10">
        <f t="shared" si="31"/>
        <v>34.042553191489361</v>
      </c>
      <c r="AC30" s="10">
        <f t="shared" si="32"/>
        <v>36.170212765957444</v>
      </c>
      <c r="AD30" s="2">
        <f t="shared" si="33"/>
        <v>-2.1276595744680833</v>
      </c>
      <c r="AE30" s="2">
        <f t="shared" si="34"/>
        <v>70.212765957446805</v>
      </c>
      <c r="AF30" s="10">
        <f t="shared" si="35"/>
        <v>3.0303030303030281</v>
      </c>
      <c r="AG30" s="2">
        <f>AVERAGE(AF17:AF30)</f>
        <v>4.6401515151515111</v>
      </c>
    </row>
    <row r="31" spans="1:33" x14ac:dyDescent="0.25">
      <c r="A31" s="1">
        <f t="shared" si="36"/>
        <v>45321</v>
      </c>
      <c r="B31" s="2">
        <f>B16</f>
        <v>113</v>
      </c>
      <c r="C31" s="2">
        <f>C16</f>
        <v>114</v>
      </c>
      <c r="D31" s="2">
        <f>D16</f>
        <v>112</v>
      </c>
      <c r="E31" s="2">
        <f t="shared" si="15"/>
        <v>2</v>
      </c>
      <c r="F31" s="2">
        <f t="shared" si="16"/>
        <v>2</v>
      </c>
      <c r="G31" s="2">
        <f t="shared" si="17"/>
        <v>0</v>
      </c>
      <c r="H31" s="2">
        <f t="shared" si="18"/>
        <v>2</v>
      </c>
      <c r="I31" s="2">
        <f>AVERAGE(H18:H31)</f>
        <v>2.5</v>
      </c>
      <c r="J31" s="2">
        <f t="shared" si="19"/>
        <v>35</v>
      </c>
      <c r="L31" s="2">
        <f t="shared" si="20"/>
        <v>1</v>
      </c>
      <c r="M31" s="2">
        <f>D30-D31</f>
        <v>-1</v>
      </c>
      <c r="N31" t="b">
        <f t="shared" si="21"/>
        <v>1</v>
      </c>
      <c r="O31" t="b">
        <f t="shared" si="22"/>
        <v>1</v>
      </c>
      <c r="P31" t="b">
        <f t="shared" si="23"/>
        <v>1</v>
      </c>
      <c r="Q31" s="2">
        <f t="shared" si="24"/>
        <v>1</v>
      </c>
      <c r="R31" s="2">
        <f t="shared" si="39"/>
        <v>1.2142857142857142</v>
      </c>
      <c r="S31" s="2">
        <f t="shared" si="25"/>
        <v>17</v>
      </c>
      <c r="U31" t="b">
        <f t="shared" si="26"/>
        <v>0</v>
      </c>
      <c r="V31" t="b">
        <f t="shared" si="27"/>
        <v>0</v>
      </c>
      <c r="W31" t="b">
        <f t="shared" si="28"/>
        <v>0</v>
      </c>
      <c r="X31" s="2">
        <f t="shared" si="29"/>
        <v>0</v>
      </c>
      <c r="Y31">
        <f t="shared" si="30"/>
        <v>0.2857142857142857</v>
      </c>
      <c r="Z31" s="2">
        <f t="shared" si="14"/>
        <v>4</v>
      </c>
      <c r="AB31" s="10">
        <f t="shared" si="31"/>
        <v>48.571428571428562</v>
      </c>
      <c r="AC31" s="10">
        <f t="shared" si="32"/>
        <v>11.428571428571429</v>
      </c>
      <c r="AD31" s="2">
        <f t="shared" si="33"/>
        <v>37.142857142857132</v>
      </c>
      <c r="AE31" s="2">
        <f t="shared" si="34"/>
        <v>59.999999999999993</v>
      </c>
      <c r="AF31" s="10">
        <f t="shared" si="35"/>
        <v>61.904761904761898</v>
      </c>
      <c r="AG31" s="2">
        <f>AVERAGE(AF18:AF31)</f>
        <v>8.6154916512059323</v>
      </c>
    </row>
    <row r="32" spans="1:33" x14ac:dyDescent="0.25">
      <c r="H32" s="2" t="s">
        <v>34</v>
      </c>
      <c r="I32" s="2" t="s">
        <v>34</v>
      </c>
      <c r="J32" s="2" t="s">
        <v>34</v>
      </c>
      <c r="L32" s="2" t="s">
        <v>34</v>
      </c>
      <c r="M32" s="2" t="s">
        <v>34</v>
      </c>
      <c r="Q32" s="2" t="s">
        <v>34</v>
      </c>
      <c r="X32" s="2" t="s">
        <v>34</v>
      </c>
      <c r="Y32" t="s">
        <v>34</v>
      </c>
      <c r="Z32" s="2" t="s">
        <v>34</v>
      </c>
      <c r="AB32" s="10" t="s">
        <v>34</v>
      </c>
      <c r="AC32" s="10" t="s">
        <v>34</v>
      </c>
      <c r="AG32" s="10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E12C-676F-4C1E-BB7C-BBCF5B2458B1}">
  <dimension ref="A1:J19"/>
  <sheetViews>
    <sheetView zoomScale="130" zoomScaleNormal="130" workbookViewId="0">
      <selection sqref="A1:B16"/>
    </sheetView>
  </sheetViews>
  <sheetFormatPr defaultRowHeight="15" x14ac:dyDescent="0.25"/>
  <cols>
    <col min="1" max="1" width="11.28515625" customWidth="1"/>
    <col min="2" max="2" width="13" customWidth="1"/>
    <col min="3" max="4" width="9.140625" style="2"/>
    <col min="5" max="5" width="10.5703125" style="12" customWidth="1"/>
    <col min="6" max="6" width="9.140625" style="12"/>
    <col min="7" max="7" width="14.28515625" style="10" customWidth="1"/>
    <col min="8" max="8" width="12.42578125" style="12" customWidth="1"/>
  </cols>
  <sheetData>
    <row r="1" spans="1:8" x14ac:dyDescent="0.25">
      <c r="B1" s="2" t="s">
        <v>0</v>
      </c>
      <c r="C1" s="2" t="s">
        <v>39</v>
      </c>
      <c r="D1" s="2" t="s">
        <v>40</v>
      </c>
      <c r="E1" s="10" t="s">
        <v>41</v>
      </c>
      <c r="F1" s="10" t="s">
        <v>42</v>
      </c>
      <c r="G1" s="10" t="s">
        <v>43</v>
      </c>
      <c r="H1" s="10" t="s">
        <v>44</v>
      </c>
    </row>
    <row r="2" spans="1:8" x14ac:dyDescent="0.25">
      <c r="A2" s="1">
        <f>tsla!A2</f>
        <v>45292</v>
      </c>
      <c r="B2" s="2">
        <f>tsla!B2</f>
        <v>100</v>
      </c>
    </row>
    <row r="3" spans="1:8" x14ac:dyDescent="0.25">
      <c r="A3" s="1">
        <f>tsla!A3</f>
        <v>45293</v>
      </c>
      <c r="B3" s="2">
        <f>tsla!B3</f>
        <v>102</v>
      </c>
      <c r="C3" s="2">
        <f>IF(B3&gt;B2, B3-B2, 0)</f>
        <v>2</v>
      </c>
      <c r="D3" s="2">
        <f>IF(B3&lt;B2,B2-B3,0)</f>
        <v>0</v>
      </c>
      <c r="E3" s="12">
        <f>C3</f>
        <v>2</v>
      </c>
      <c r="F3" s="12">
        <f>D3</f>
        <v>0</v>
      </c>
      <c r="G3" s="10">
        <f>IF(F3=0,1E+307,E3/F3)</f>
        <v>9.9999999999999999E+306</v>
      </c>
      <c r="H3" s="12">
        <f t="shared" ref="H3:H6" si="0">100-(100/(1+G3))</f>
        <v>100</v>
      </c>
    </row>
    <row r="4" spans="1:8" x14ac:dyDescent="0.25">
      <c r="A4" s="1">
        <f>tsla!A4</f>
        <v>45294</v>
      </c>
      <c r="B4" s="2">
        <f>tsla!B4</f>
        <v>101</v>
      </c>
      <c r="C4" s="2">
        <f t="shared" ref="C4:C16" si="1">IF(B4&gt;B3, B4-B3, 0)</f>
        <v>0</v>
      </c>
      <c r="D4" s="2">
        <f t="shared" ref="D4:D16" si="2">IF(B4&lt;B3,B3-B4,0)</f>
        <v>1</v>
      </c>
      <c r="E4" s="12">
        <f>$E$18*C4+(1-$E$18)*E3</f>
        <v>1.6</v>
      </c>
      <c r="F4" s="12">
        <f>$E$18*D4+(1-$E$18)*F3</f>
        <v>0.2</v>
      </c>
      <c r="G4" s="10">
        <f t="shared" ref="G4:G16" si="3">IF(F4=0,1E+307,E4/F4)</f>
        <v>8</v>
      </c>
      <c r="H4" s="12">
        <f t="shared" si="0"/>
        <v>88.888888888888886</v>
      </c>
    </row>
    <row r="5" spans="1:8" x14ac:dyDescent="0.25">
      <c r="A5" s="1">
        <f>tsla!A5</f>
        <v>45295</v>
      </c>
      <c r="B5" s="2">
        <f>tsla!B5</f>
        <v>103</v>
      </c>
      <c r="C5" s="2">
        <f t="shared" si="1"/>
        <v>2</v>
      </c>
      <c r="D5" s="2">
        <f t="shared" si="2"/>
        <v>0</v>
      </c>
      <c r="E5" s="12">
        <f t="shared" ref="E5:E16" si="4">$E$18*C5+(1-$E$18)*E4</f>
        <v>1.6800000000000002</v>
      </c>
      <c r="F5" s="12">
        <f t="shared" ref="F5:F16" si="5">$E$18*D5+(1-$E$18)*F4</f>
        <v>0.16000000000000003</v>
      </c>
      <c r="G5" s="10">
        <f t="shared" si="3"/>
        <v>10.499999999999998</v>
      </c>
      <c r="H5" s="12">
        <f t="shared" si="0"/>
        <v>91.304347826086953</v>
      </c>
    </row>
    <row r="6" spans="1:8" x14ac:dyDescent="0.25">
      <c r="A6" s="1">
        <f>tsla!A6</f>
        <v>45296</v>
      </c>
      <c r="B6" s="2">
        <f>tsla!B6</f>
        <v>102</v>
      </c>
      <c r="C6" s="2">
        <f t="shared" si="1"/>
        <v>0</v>
      </c>
      <c r="D6" s="2">
        <f t="shared" si="2"/>
        <v>1</v>
      </c>
      <c r="E6" s="12">
        <f t="shared" si="4"/>
        <v>1.3440000000000003</v>
      </c>
      <c r="F6" s="12">
        <f t="shared" si="5"/>
        <v>0.32800000000000007</v>
      </c>
      <c r="G6" s="10">
        <f t="shared" si="3"/>
        <v>4.0975609756097562</v>
      </c>
      <c r="H6" s="12">
        <f t="shared" si="0"/>
        <v>80.382775119617222</v>
      </c>
    </row>
    <row r="7" spans="1:8" x14ac:dyDescent="0.25">
      <c r="A7" s="1">
        <f>tsla!A7</f>
        <v>45297</v>
      </c>
      <c r="B7" s="2">
        <f>tsla!B7</f>
        <v>104</v>
      </c>
      <c r="C7" s="2">
        <f t="shared" si="1"/>
        <v>2</v>
      </c>
      <c r="D7" s="2">
        <f t="shared" si="2"/>
        <v>0</v>
      </c>
      <c r="E7" s="12">
        <f t="shared" si="4"/>
        <v>1.4752000000000005</v>
      </c>
      <c r="F7" s="12">
        <f t="shared" si="5"/>
        <v>0.26240000000000008</v>
      </c>
      <c r="G7" s="10">
        <f t="shared" si="3"/>
        <v>5.6219512195121952</v>
      </c>
      <c r="H7" s="12">
        <f>100-(100/(1+G7))</f>
        <v>84.898710865561696</v>
      </c>
    </row>
    <row r="8" spans="1:8" x14ac:dyDescent="0.25">
      <c r="A8" s="1">
        <f>tsla!A8</f>
        <v>45298</v>
      </c>
      <c r="B8" s="2">
        <f>tsla!B8</f>
        <v>106</v>
      </c>
      <c r="C8" s="2">
        <f t="shared" si="1"/>
        <v>2</v>
      </c>
      <c r="D8" s="2">
        <f t="shared" si="2"/>
        <v>0</v>
      </c>
      <c r="E8" s="12">
        <f t="shared" si="4"/>
        <v>1.5801600000000007</v>
      </c>
      <c r="F8" s="12">
        <f t="shared" si="5"/>
        <v>0.20992000000000008</v>
      </c>
      <c r="G8" s="10">
        <f t="shared" si="3"/>
        <v>7.5274390243902447</v>
      </c>
      <c r="H8" s="12">
        <f t="shared" ref="H8:H16" si="6">100-(100/(1+G8))</f>
        <v>88.273149803360738</v>
      </c>
    </row>
    <row r="9" spans="1:8" x14ac:dyDescent="0.25">
      <c r="A9" s="1">
        <f>tsla!A9</f>
        <v>45299</v>
      </c>
      <c r="B9" s="2">
        <f>tsla!B9</f>
        <v>105</v>
      </c>
      <c r="C9" s="2">
        <f t="shared" si="1"/>
        <v>0</v>
      </c>
      <c r="D9" s="2">
        <f t="shared" si="2"/>
        <v>1</v>
      </c>
      <c r="E9" s="12">
        <f t="shared" si="4"/>
        <v>1.2641280000000006</v>
      </c>
      <c r="F9" s="12">
        <f t="shared" si="5"/>
        <v>0.3679360000000001</v>
      </c>
      <c r="G9" s="10">
        <f t="shared" si="3"/>
        <v>3.4357279526874245</v>
      </c>
      <c r="H9" s="12">
        <f t="shared" si="6"/>
        <v>77.455786047605983</v>
      </c>
    </row>
    <row r="10" spans="1:8" x14ac:dyDescent="0.25">
      <c r="A10" s="1">
        <f>tsla!A10</f>
        <v>45300</v>
      </c>
      <c r="B10" s="2">
        <f>tsla!B10</f>
        <v>107</v>
      </c>
      <c r="C10" s="2">
        <f t="shared" si="1"/>
        <v>2</v>
      </c>
      <c r="D10" s="2">
        <f t="shared" si="2"/>
        <v>0</v>
      </c>
      <c r="E10" s="12">
        <f t="shared" si="4"/>
        <v>1.4113024000000007</v>
      </c>
      <c r="F10" s="12">
        <f t="shared" si="5"/>
        <v>0.29434880000000008</v>
      </c>
      <c r="G10" s="10">
        <f t="shared" si="3"/>
        <v>4.7946599408592814</v>
      </c>
      <c r="H10" s="12">
        <f t="shared" si="6"/>
        <v>82.742731925495676</v>
      </c>
    </row>
    <row r="11" spans="1:8" x14ac:dyDescent="0.25">
      <c r="A11" s="1">
        <f>tsla!A11</f>
        <v>45301</v>
      </c>
      <c r="B11" s="2">
        <f>tsla!B11</f>
        <v>108</v>
      </c>
      <c r="C11" s="2">
        <f t="shared" si="1"/>
        <v>1</v>
      </c>
      <c r="D11" s="2">
        <f t="shared" si="2"/>
        <v>0</v>
      </c>
      <c r="E11" s="12">
        <f t="shared" si="4"/>
        <v>1.3290419200000005</v>
      </c>
      <c r="F11" s="12">
        <f t="shared" si="5"/>
        <v>0.23547904000000008</v>
      </c>
      <c r="G11" s="10">
        <f t="shared" si="3"/>
        <v>5.64399243346669</v>
      </c>
      <c r="H11" s="12">
        <f t="shared" si="6"/>
        <v>84.94880886734812</v>
      </c>
    </row>
    <row r="12" spans="1:8" x14ac:dyDescent="0.25">
      <c r="A12" s="1">
        <f>tsla!A12</f>
        <v>45302</v>
      </c>
      <c r="B12" s="2">
        <f>tsla!B12</f>
        <v>110</v>
      </c>
      <c r="C12" s="2">
        <f t="shared" si="1"/>
        <v>2</v>
      </c>
      <c r="D12" s="2">
        <f t="shared" si="2"/>
        <v>0</v>
      </c>
      <c r="E12" s="12">
        <f t="shared" si="4"/>
        <v>1.4632335360000006</v>
      </c>
      <c r="F12" s="12">
        <f t="shared" si="5"/>
        <v>0.18838323200000007</v>
      </c>
      <c r="G12" s="10">
        <f t="shared" si="3"/>
        <v>7.7673236649852155</v>
      </c>
      <c r="H12" s="12">
        <f t="shared" si="6"/>
        <v>88.594010690014983</v>
      </c>
    </row>
    <row r="13" spans="1:8" x14ac:dyDescent="0.25">
      <c r="A13" s="1">
        <f>tsla!A13</f>
        <v>45303</v>
      </c>
      <c r="B13" s="2">
        <f>tsla!B13</f>
        <v>109</v>
      </c>
      <c r="C13" s="2">
        <f t="shared" si="1"/>
        <v>0</v>
      </c>
      <c r="D13" s="2">
        <f t="shared" si="2"/>
        <v>1</v>
      </c>
      <c r="E13" s="12">
        <f t="shared" si="4"/>
        <v>1.1705868288000005</v>
      </c>
      <c r="F13" s="12">
        <f t="shared" si="5"/>
        <v>0.35070658560000006</v>
      </c>
      <c r="G13" s="10">
        <f t="shared" si="3"/>
        <v>3.3377954018095299</v>
      </c>
      <c r="H13" s="12">
        <f t="shared" si="6"/>
        <v>76.946814974656348</v>
      </c>
    </row>
    <row r="14" spans="1:8" x14ac:dyDescent="0.25">
      <c r="A14" s="1">
        <f>tsla!A14</f>
        <v>45304</v>
      </c>
      <c r="B14" s="2">
        <f>tsla!B14</f>
        <v>111</v>
      </c>
      <c r="C14" s="2">
        <f t="shared" si="1"/>
        <v>2</v>
      </c>
      <c r="D14" s="2">
        <f t="shared" si="2"/>
        <v>0</v>
      </c>
      <c r="E14" s="12">
        <f t="shared" si="4"/>
        <v>1.3364694630400005</v>
      </c>
      <c r="F14" s="12">
        <f t="shared" si="5"/>
        <v>0.28056526848000007</v>
      </c>
      <c r="G14" s="10">
        <f t="shared" si="3"/>
        <v>4.7634886181048097</v>
      </c>
      <c r="H14" s="12">
        <f t="shared" si="6"/>
        <v>82.649397504513047</v>
      </c>
    </row>
    <row r="15" spans="1:8" x14ac:dyDescent="0.25">
      <c r="A15" s="1">
        <f>tsla!A15</f>
        <v>45305</v>
      </c>
      <c r="B15" s="2">
        <f>tsla!B15</f>
        <v>112</v>
      </c>
      <c r="C15" s="2">
        <f t="shared" si="1"/>
        <v>1</v>
      </c>
      <c r="D15" s="2">
        <f t="shared" si="2"/>
        <v>0</v>
      </c>
      <c r="E15" s="12">
        <f t="shared" si="4"/>
        <v>1.2691755704320005</v>
      </c>
      <c r="F15" s="12">
        <f t="shared" si="5"/>
        <v>0.22445221478400007</v>
      </c>
      <c r="G15" s="10">
        <f t="shared" si="3"/>
        <v>5.6545468782893593</v>
      </c>
      <c r="H15" s="12">
        <f t="shared" si="6"/>
        <v>84.972680810732172</v>
      </c>
    </row>
    <row r="16" spans="1:8" x14ac:dyDescent="0.25">
      <c r="A16" s="1">
        <f>tsla!A16</f>
        <v>45306</v>
      </c>
      <c r="B16" s="2">
        <f>tsla!B16</f>
        <v>113</v>
      </c>
      <c r="C16" s="2">
        <f t="shared" si="1"/>
        <v>1</v>
      </c>
      <c r="D16" s="2">
        <f t="shared" si="2"/>
        <v>0</v>
      </c>
      <c r="E16" s="12">
        <f t="shared" si="4"/>
        <v>1.2153404563456003</v>
      </c>
      <c r="F16" s="12">
        <f t="shared" si="5"/>
        <v>0.17956177182720007</v>
      </c>
      <c r="G16" s="10">
        <f t="shared" si="3"/>
        <v>6.7683697035200465</v>
      </c>
      <c r="H16" s="12">
        <f t="shared" si="6"/>
        <v>87.127286185325673</v>
      </c>
    </row>
    <row r="17" spans="1:10" x14ac:dyDescent="0.25">
      <c r="A17" s="1"/>
      <c r="B17" s="2"/>
    </row>
    <row r="18" spans="1:10" x14ac:dyDescent="0.25">
      <c r="A18" t="s">
        <v>4</v>
      </c>
      <c r="E18" s="12">
        <f>1/5</f>
        <v>0.2</v>
      </c>
    </row>
    <row r="19" spans="1:10" x14ac:dyDescent="0.25">
      <c r="G19" s="13"/>
      <c r="J19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755E-DCEF-43FB-8525-11627124F31C}">
  <dimension ref="A1:H16"/>
  <sheetViews>
    <sheetView zoomScale="145" zoomScaleNormal="145" workbookViewId="0">
      <selection sqref="A1:B16"/>
    </sheetView>
  </sheetViews>
  <sheetFormatPr defaultRowHeight="15" x14ac:dyDescent="0.25"/>
  <cols>
    <col min="1" max="1" width="12" customWidth="1"/>
    <col min="3" max="6" width="9.140625" style="2"/>
    <col min="7" max="8" width="13.5703125" style="10" customWidth="1"/>
  </cols>
  <sheetData>
    <row r="1" spans="1:8" x14ac:dyDescent="0.25">
      <c r="B1" s="2" t="s">
        <v>0</v>
      </c>
      <c r="C1" s="2" t="s">
        <v>1</v>
      </c>
      <c r="D1" s="2" t="s">
        <v>2</v>
      </c>
      <c r="E1" s="2" t="s">
        <v>48</v>
      </c>
      <c r="F1" s="2" t="s">
        <v>49</v>
      </c>
      <c r="G1" s="10" t="s">
        <v>46</v>
      </c>
      <c r="H1" s="10" t="s">
        <v>47</v>
      </c>
    </row>
    <row r="2" spans="1:8" x14ac:dyDescent="0.25">
      <c r="A2" s="1">
        <f>tsla!A2</f>
        <v>45292</v>
      </c>
      <c r="B2" s="2">
        <f>tsla!B2</f>
        <v>100</v>
      </c>
      <c r="C2" s="2">
        <f>tsla!C2</f>
        <v>101</v>
      </c>
      <c r="D2" s="2">
        <f>tsla!D2</f>
        <v>99</v>
      </c>
    </row>
    <row r="3" spans="1:8" x14ac:dyDescent="0.25">
      <c r="A3" s="1">
        <f>tsla!A3</f>
        <v>45293</v>
      </c>
      <c r="B3" s="2">
        <f>tsla!B3</f>
        <v>102</v>
      </c>
      <c r="C3" s="2">
        <f>tsla!C3</f>
        <v>103</v>
      </c>
      <c r="D3" s="2">
        <f>tsla!D3</f>
        <v>101</v>
      </c>
    </row>
    <row r="4" spans="1:8" x14ac:dyDescent="0.25">
      <c r="A4" s="1">
        <f>tsla!A4</f>
        <v>45294</v>
      </c>
      <c r="B4" s="2">
        <f>tsla!B4</f>
        <v>101</v>
      </c>
      <c r="C4" s="2">
        <f>tsla!C4</f>
        <v>102</v>
      </c>
      <c r="D4" s="2">
        <f>tsla!D4</f>
        <v>100</v>
      </c>
    </row>
    <row r="5" spans="1:8" x14ac:dyDescent="0.25">
      <c r="A5" s="1">
        <f>tsla!A5</f>
        <v>45295</v>
      </c>
      <c r="B5" s="2">
        <f>tsla!B5</f>
        <v>103</v>
      </c>
      <c r="C5" s="2">
        <f>tsla!C5</f>
        <v>104</v>
      </c>
      <c r="D5" s="2">
        <f>tsla!D5</f>
        <v>102</v>
      </c>
    </row>
    <row r="6" spans="1:8" x14ac:dyDescent="0.25">
      <c r="A6" s="1">
        <f>tsla!A6</f>
        <v>45296</v>
      </c>
      <c r="B6" s="2">
        <f>tsla!B6</f>
        <v>102</v>
      </c>
      <c r="C6" s="2">
        <f>tsla!C6</f>
        <v>103</v>
      </c>
      <c r="D6" s="2">
        <f>tsla!D6</f>
        <v>101</v>
      </c>
      <c r="E6" s="2">
        <f>MAX(C2:C6)</f>
        <v>104</v>
      </c>
      <c r="F6" s="2">
        <f>MIN(D2:D6)</f>
        <v>99</v>
      </c>
      <c r="G6" s="10">
        <f>((B6-F6)/(E6-F6))*100</f>
        <v>60</v>
      </c>
    </row>
    <row r="7" spans="1:8" x14ac:dyDescent="0.25">
      <c r="A7" s="1">
        <f>tsla!A7</f>
        <v>45297</v>
      </c>
      <c r="B7" s="2">
        <f>tsla!B7</f>
        <v>104</v>
      </c>
      <c r="C7" s="2">
        <f>tsla!C7</f>
        <v>105</v>
      </c>
      <c r="D7" s="2">
        <f>tsla!D7</f>
        <v>103</v>
      </c>
      <c r="E7" s="2">
        <f t="shared" ref="E7:E16" si="0">MAX(C3:C7)</f>
        <v>105</v>
      </c>
      <c r="F7" s="2">
        <f t="shared" ref="F7:F16" si="1">MIN(D3:D7)</f>
        <v>100</v>
      </c>
      <c r="G7" s="10">
        <f>((B7-F7)/(E7-F7))*100</f>
        <v>80</v>
      </c>
    </row>
    <row r="8" spans="1:8" x14ac:dyDescent="0.25">
      <c r="A8" s="1">
        <f>tsla!A8</f>
        <v>45298</v>
      </c>
      <c r="B8" s="2">
        <f>tsla!B8</f>
        <v>106</v>
      </c>
      <c r="C8" s="2">
        <f>tsla!C8</f>
        <v>107</v>
      </c>
      <c r="D8" s="2">
        <f>tsla!D8</f>
        <v>105</v>
      </c>
      <c r="E8" s="2">
        <f t="shared" si="0"/>
        <v>107</v>
      </c>
      <c r="F8" s="2">
        <f t="shared" si="1"/>
        <v>100</v>
      </c>
      <c r="G8" s="10">
        <f>((B8-F8)/(E8-F8))*100</f>
        <v>85.714285714285708</v>
      </c>
      <c r="H8" s="10">
        <f>AVERAGE(G6:G8)</f>
        <v>75.238095238095241</v>
      </c>
    </row>
    <row r="9" spans="1:8" x14ac:dyDescent="0.25">
      <c r="A9" s="1">
        <f>tsla!A9</f>
        <v>45299</v>
      </c>
      <c r="B9" s="2">
        <f>tsla!B9</f>
        <v>105</v>
      </c>
      <c r="C9" s="2">
        <f>tsla!C9</f>
        <v>106</v>
      </c>
      <c r="D9" s="2">
        <f>tsla!D9</f>
        <v>104</v>
      </c>
      <c r="E9" s="2">
        <f t="shared" si="0"/>
        <v>107</v>
      </c>
      <c r="F9" s="2">
        <f t="shared" si="1"/>
        <v>101</v>
      </c>
      <c r="G9" s="10">
        <f>((B9-F9)/(E9-F9))*100</f>
        <v>66.666666666666657</v>
      </c>
      <c r="H9" s="10">
        <f t="shared" ref="H9:H16" si="2">AVERAGE(G7:G9)</f>
        <v>77.460317460317455</v>
      </c>
    </row>
    <row r="10" spans="1:8" x14ac:dyDescent="0.25">
      <c r="A10" s="1">
        <f>tsla!A10</f>
        <v>45300</v>
      </c>
      <c r="B10" s="2">
        <f>tsla!B10</f>
        <v>107</v>
      </c>
      <c r="C10" s="2">
        <f>tsla!C10</f>
        <v>108</v>
      </c>
      <c r="D10" s="2">
        <f>tsla!D10</f>
        <v>106</v>
      </c>
      <c r="E10" s="2">
        <f t="shared" si="0"/>
        <v>108</v>
      </c>
      <c r="F10" s="2">
        <f t="shared" si="1"/>
        <v>101</v>
      </c>
      <c r="G10" s="10">
        <f>((B10-F10)/(E10-F10))*100</f>
        <v>85.714285714285708</v>
      </c>
      <c r="H10" s="10">
        <f t="shared" si="2"/>
        <v>79.365079365079353</v>
      </c>
    </row>
    <row r="11" spans="1:8" x14ac:dyDescent="0.25">
      <c r="A11" s="1">
        <f>tsla!A11</f>
        <v>45301</v>
      </c>
      <c r="B11" s="2">
        <f>tsla!B11</f>
        <v>108</v>
      </c>
      <c r="C11" s="2">
        <f>tsla!C11</f>
        <v>109</v>
      </c>
      <c r="D11" s="2">
        <f>tsla!D11</f>
        <v>107</v>
      </c>
      <c r="E11" s="2">
        <f t="shared" si="0"/>
        <v>109</v>
      </c>
      <c r="F11" s="2">
        <f t="shared" si="1"/>
        <v>103</v>
      </c>
      <c r="G11" s="10">
        <f>((B11-F11)/(E11-F11))*100</f>
        <v>83.333333333333343</v>
      </c>
      <c r="H11" s="10">
        <f t="shared" si="2"/>
        <v>78.571428571428569</v>
      </c>
    </row>
    <row r="12" spans="1:8" x14ac:dyDescent="0.25">
      <c r="A12" s="1">
        <f>tsla!A12</f>
        <v>45302</v>
      </c>
      <c r="B12" s="2">
        <f>tsla!B12</f>
        <v>110</v>
      </c>
      <c r="C12" s="2">
        <f>tsla!C12</f>
        <v>111</v>
      </c>
      <c r="D12" s="2">
        <f>tsla!D12</f>
        <v>109</v>
      </c>
      <c r="E12" s="2">
        <f t="shared" si="0"/>
        <v>111</v>
      </c>
      <c r="F12" s="2">
        <f t="shared" si="1"/>
        <v>104</v>
      </c>
      <c r="G12" s="10">
        <f>((B12-F12)/(E12-F12))*100</f>
        <v>85.714285714285708</v>
      </c>
      <c r="H12" s="10">
        <f t="shared" si="2"/>
        <v>84.920634920634924</v>
      </c>
    </row>
    <row r="13" spans="1:8" x14ac:dyDescent="0.25">
      <c r="A13" s="1">
        <f>tsla!A13</f>
        <v>45303</v>
      </c>
      <c r="B13" s="2">
        <f>tsla!B13</f>
        <v>109</v>
      </c>
      <c r="C13" s="2">
        <f>tsla!C13</f>
        <v>110</v>
      </c>
      <c r="D13" s="2">
        <f>tsla!D13</f>
        <v>108</v>
      </c>
      <c r="E13" s="2">
        <f t="shared" si="0"/>
        <v>111</v>
      </c>
      <c r="F13" s="2">
        <f t="shared" si="1"/>
        <v>104</v>
      </c>
      <c r="G13" s="10">
        <f>((B13-F13)/(E13-F13))*100</f>
        <v>71.428571428571431</v>
      </c>
      <c r="H13" s="10">
        <f t="shared" si="2"/>
        <v>80.158730158730165</v>
      </c>
    </row>
    <row r="14" spans="1:8" x14ac:dyDescent="0.25">
      <c r="A14" s="1">
        <f>tsla!A14</f>
        <v>45304</v>
      </c>
      <c r="B14" s="2">
        <f>tsla!B14</f>
        <v>111</v>
      </c>
      <c r="C14" s="2">
        <f>tsla!C14</f>
        <v>112</v>
      </c>
      <c r="D14" s="2">
        <f>tsla!D14</f>
        <v>110</v>
      </c>
      <c r="E14" s="2">
        <f t="shared" si="0"/>
        <v>112</v>
      </c>
      <c r="F14" s="2">
        <f t="shared" si="1"/>
        <v>106</v>
      </c>
      <c r="G14" s="10">
        <f>((B14-F14)/(E14-F14))*100</f>
        <v>83.333333333333343</v>
      </c>
      <c r="H14" s="10">
        <f t="shared" si="2"/>
        <v>80.158730158730165</v>
      </c>
    </row>
    <row r="15" spans="1:8" x14ac:dyDescent="0.25">
      <c r="A15" s="1">
        <f>tsla!A15</f>
        <v>45305</v>
      </c>
      <c r="B15" s="2">
        <f>tsla!B15</f>
        <v>112</v>
      </c>
      <c r="C15" s="2">
        <f>tsla!C15</f>
        <v>113</v>
      </c>
      <c r="D15" s="2">
        <f>tsla!D15</f>
        <v>111</v>
      </c>
      <c r="E15" s="2">
        <f t="shared" si="0"/>
        <v>113</v>
      </c>
      <c r="F15" s="2">
        <f t="shared" si="1"/>
        <v>107</v>
      </c>
      <c r="G15" s="10">
        <f>((B15-F15)/(E15-F15))*100</f>
        <v>83.333333333333343</v>
      </c>
      <c r="H15" s="10">
        <f t="shared" si="2"/>
        <v>79.365079365079367</v>
      </c>
    </row>
    <row r="16" spans="1:8" x14ac:dyDescent="0.25">
      <c r="A16" s="1">
        <f>tsla!A16</f>
        <v>45306</v>
      </c>
      <c r="B16" s="2">
        <f>tsla!B16</f>
        <v>113</v>
      </c>
      <c r="C16" s="2">
        <f>tsla!C16</f>
        <v>114</v>
      </c>
      <c r="D16" s="2">
        <f>tsla!D16</f>
        <v>112</v>
      </c>
      <c r="E16" s="2">
        <f t="shared" si="0"/>
        <v>114</v>
      </c>
      <c r="F16" s="2">
        <f t="shared" si="1"/>
        <v>108</v>
      </c>
      <c r="G16" s="10">
        <f>((B16-F16)/(E16-F16))*100</f>
        <v>83.333333333333343</v>
      </c>
      <c r="H16" s="10">
        <f t="shared" si="2"/>
        <v>83.333333333333343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2EDD-97B6-470D-9641-5D98252568EE}">
  <dimension ref="A1:H16"/>
  <sheetViews>
    <sheetView zoomScale="130" zoomScaleNormal="130" workbookViewId="0">
      <selection sqref="A1:D16"/>
    </sheetView>
  </sheetViews>
  <sheetFormatPr defaultRowHeight="15" x14ac:dyDescent="0.25"/>
  <cols>
    <col min="1" max="1" width="11.28515625" customWidth="1"/>
    <col min="5" max="7" width="9.140625" style="2"/>
    <col min="8" max="8" width="12.5703125" style="12" customWidth="1"/>
  </cols>
  <sheetData>
    <row r="1" spans="1:8" x14ac:dyDescent="0.25">
      <c r="B1" s="2" t="s">
        <v>0</v>
      </c>
      <c r="C1" s="2" t="s">
        <v>1</v>
      </c>
      <c r="D1" s="2" t="s">
        <v>2</v>
      </c>
      <c r="E1" s="2" t="s">
        <v>50</v>
      </c>
      <c r="F1" s="2" t="s">
        <v>51</v>
      </c>
      <c r="G1" s="2" t="s">
        <v>52</v>
      </c>
      <c r="H1" s="10" t="s">
        <v>53</v>
      </c>
    </row>
    <row r="2" spans="1:8" x14ac:dyDescent="0.25">
      <c r="A2" s="1">
        <f>tsla!A2</f>
        <v>45292</v>
      </c>
      <c r="B2" s="2">
        <f>tsla!B2</f>
        <v>100</v>
      </c>
      <c r="C2" s="2">
        <f>tsla!C2</f>
        <v>101</v>
      </c>
      <c r="D2" s="2">
        <f>tsla!D2</f>
        <v>99</v>
      </c>
      <c r="E2" s="2">
        <f>AVERAGE(B2:D2)</f>
        <v>100</v>
      </c>
    </row>
    <row r="3" spans="1:8" x14ac:dyDescent="0.25">
      <c r="A3" s="1">
        <f>tsla!A3</f>
        <v>45293</v>
      </c>
      <c r="B3" s="2">
        <f>tsla!B3</f>
        <v>102</v>
      </c>
      <c r="C3" s="2">
        <f>tsla!C3</f>
        <v>103</v>
      </c>
      <c r="D3" s="2">
        <f>tsla!D3</f>
        <v>101</v>
      </c>
      <c r="E3" s="2">
        <f t="shared" ref="E3:E16" si="0">AVERAGE(B3:D3)</f>
        <v>102</v>
      </c>
    </row>
    <row r="4" spans="1:8" x14ac:dyDescent="0.25">
      <c r="A4" s="1">
        <f>tsla!A4</f>
        <v>45294</v>
      </c>
      <c r="B4" s="2">
        <f>tsla!B4</f>
        <v>101</v>
      </c>
      <c r="C4" s="2">
        <f>tsla!C4</f>
        <v>102</v>
      </c>
      <c r="D4" s="2">
        <f>tsla!D4</f>
        <v>100</v>
      </c>
      <c r="E4" s="2">
        <f t="shared" si="0"/>
        <v>101</v>
      </c>
    </row>
    <row r="5" spans="1:8" x14ac:dyDescent="0.25">
      <c r="A5" s="1">
        <f>tsla!A5</f>
        <v>45295</v>
      </c>
      <c r="B5" s="2">
        <f>tsla!B5</f>
        <v>103</v>
      </c>
      <c r="C5" s="2">
        <f>tsla!C5</f>
        <v>104</v>
      </c>
      <c r="D5" s="2">
        <f>tsla!D5</f>
        <v>102</v>
      </c>
      <c r="E5" s="2">
        <f t="shared" si="0"/>
        <v>103</v>
      </c>
    </row>
    <row r="6" spans="1:8" x14ac:dyDescent="0.25">
      <c r="A6" s="1">
        <f>tsla!A6</f>
        <v>45296</v>
      </c>
      <c r="B6" s="2">
        <f>tsla!B6</f>
        <v>102</v>
      </c>
      <c r="C6" s="2">
        <f>tsla!C6</f>
        <v>103</v>
      </c>
      <c r="D6" s="2">
        <f>tsla!D6</f>
        <v>101</v>
      </c>
      <c r="E6" s="2">
        <f t="shared" si="0"/>
        <v>102</v>
      </c>
      <c r="F6" s="2">
        <f>AVERAGE(E2:E6)</f>
        <v>101.6</v>
      </c>
      <c r="G6" s="2">
        <f>AVEDEV(E2:E6)</f>
        <v>0.88000000000000111</v>
      </c>
      <c r="H6" s="12">
        <f t="shared" ref="H6:H9" si="1">(E6-F6)/(0.015*G6)</f>
        <v>30.303030303030699</v>
      </c>
    </row>
    <row r="7" spans="1:8" x14ac:dyDescent="0.25">
      <c r="A7" s="1">
        <f>tsla!A7</f>
        <v>45297</v>
      </c>
      <c r="B7" s="2">
        <f>tsla!B7</f>
        <v>104</v>
      </c>
      <c r="C7" s="2">
        <f>tsla!C7</f>
        <v>105</v>
      </c>
      <c r="D7" s="2">
        <f>tsla!D7</f>
        <v>103</v>
      </c>
      <c r="E7" s="2">
        <f t="shared" si="0"/>
        <v>104</v>
      </c>
      <c r="F7" s="2">
        <f t="shared" ref="F7:F16" si="2">AVERAGE(E3:E7)</f>
        <v>102.4</v>
      </c>
      <c r="G7" s="2">
        <f t="shared" ref="G7:G16" si="3">AVEDEV(E3:E7)</f>
        <v>0.88000000000000111</v>
      </c>
      <c r="H7" s="12">
        <f t="shared" si="1"/>
        <v>121.21212121212064</v>
      </c>
    </row>
    <row r="8" spans="1:8" x14ac:dyDescent="0.25">
      <c r="A8" s="1">
        <f>tsla!A8</f>
        <v>45298</v>
      </c>
      <c r="B8" s="2">
        <f>tsla!B8</f>
        <v>106</v>
      </c>
      <c r="C8" s="2">
        <f>tsla!C8</f>
        <v>107</v>
      </c>
      <c r="D8" s="2">
        <f>tsla!D8</f>
        <v>105</v>
      </c>
      <c r="E8" s="2">
        <f t="shared" si="0"/>
        <v>106</v>
      </c>
      <c r="F8" s="2">
        <f t="shared" si="2"/>
        <v>103.2</v>
      </c>
      <c r="G8" s="2">
        <f t="shared" si="3"/>
        <v>1.4400000000000006</v>
      </c>
      <c r="H8" s="12">
        <f t="shared" si="1"/>
        <v>129.62962962962945</v>
      </c>
    </row>
    <row r="9" spans="1:8" x14ac:dyDescent="0.25">
      <c r="A9" s="1">
        <f>tsla!A9</f>
        <v>45299</v>
      </c>
      <c r="B9" s="2">
        <f>tsla!B9</f>
        <v>105</v>
      </c>
      <c r="C9" s="2">
        <f>tsla!C9</f>
        <v>106</v>
      </c>
      <c r="D9" s="2">
        <f>tsla!D9</f>
        <v>104</v>
      </c>
      <c r="E9" s="2">
        <f t="shared" si="0"/>
        <v>105</v>
      </c>
      <c r="F9" s="2">
        <f t="shared" si="2"/>
        <v>104</v>
      </c>
      <c r="G9" s="2">
        <f t="shared" si="3"/>
        <v>1.2</v>
      </c>
      <c r="H9" s="12">
        <f t="shared" si="1"/>
        <v>55.555555555555557</v>
      </c>
    </row>
    <row r="10" spans="1:8" x14ac:dyDescent="0.25">
      <c r="A10" s="1">
        <f>tsla!A10</f>
        <v>45300</v>
      </c>
      <c r="B10" s="2">
        <f>tsla!B10</f>
        <v>107</v>
      </c>
      <c r="C10" s="2">
        <f>tsla!C10</f>
        <v>108</v>
      </c>
      <c r="D10" s="2">
        <f>tsla!D10</f>
        <v>106</v>
      </c>
      <c r="E10" s="2">
        <f t="shared" si="0"/>
        <v>107</v>
      </c>
      <c r="F10" s="2">
        <f t="shared" si="2"/>
        <v>104.8</v>
      </c>
      <c r="G10" s="2">
        <f t="shared" si="3"/>
        <v>1.4400000000000006</v>
      </c>
      <c r="H10" s="12">
        <f>(E10-F10)/(0.015*G10)</f>
        <v>101.85185185185195</v>
      </c>
    </row>
    <row r="11" spans="1:8" x14ac:dyDescent="0.25">
      <c r="A11" s="1">
        <f>tsla!A11</f>
        <v>45301</v>
      </c>
      <c r="B11" s="2">
        <f>tsla!B11</f>
        <v>108</v>
      </c>
      <c r="C11" s="2">
        <f>tsla!C11</f>
        <v>109</v>
      </c>
      <c r="D11" s="2">
        <f>tsla!D11</f>
        <v>107</v>
      </c>
      <c r="E11" s="2">
        <f t="shared" si="0"/>
        <v>108</v>
      </c>
      <c r="F11" s="2">
        <f t="shared" si="2"/>
        <v>106</v>
      </c>
      <c r="G11" s="2">
        <f t="shared" si="3"/>
        <v>1.2</v>
      </c>
      <c r="H11" s="12">
        <f t="shared" ref="H11:H16" si="4">(E11-F11)/(0.015*G11)</f>
        <v>111.11111111111111</v>
      </c>
    </row>
    <row r="12" spans="1:8" x14ac:dyDescent="0.25">
      <c r="A12" s="1">
        <f>tsla!A12</f>
        <v>45302</v>
      </c>
      <c r="B12" s="2">
        <f>tsla!B12</f>
        <v>110</v>
      </c>
      <c r="C12" s="2">
        <f>tsla!C12</f>
        <v>111</v>
      </c>
      <c r="D12" s="2">
        <f>tsla!D12</f>
        <v>109</v>
      </c>
      <c r="E12" s="2">
        <f t="shared" si="0"/>
        <v>110</v>
      </c>
      <c r="F12" s="2">
        <f t="shared" si="2"/>
        <v>107.2</v>
      </c>
      <c r="G12" s="2">
        <f t="shared" si="3"/>
        <v>1.4400000000000006</v>
      </c>
      <c r="H12" s="12">
        <f t="shared" si="4"/>
        <v>129.62962962962945</v>
      </c>
    </row>
    <row r="13" spans="1:8" x14ac:dyDescent="0.25">
      <c r="A13" s="1">
        <f>tsla!A13</f>
        <v>45303</v>
      </c>
      <c r="B13" s="2">
        <f>tsla!B13</f>
        <v>109</v>
      </c>
      <c r="C13" s="2">
        <f>tsla!C13</f>
        <v>110</v>
      </c>
      <c r="D13" s="2">
        <f>tsla!D13</f>
        <v>108</v>
      </c>
      <c r="E13" s="2">
        <f t="shared" si="0"/>
        <v>109</v>
      </c>
      <c r="F13" s="2">
        <f t="shared" si="2"/>
        <v>107.8</v>
      </c>
      <c r="G13" s="2">
        <f t="shared" si="3"/>
        <v>1.4400000000000006</v>
      </c>
      <c r="H13" s="12">
        <f t="shared" si="4"/>
        <v>55.555555555555664</v>
      </c>
    </row>
    <row r="14" spans="1:8" x14ac:dyDescent="0.25">
      <c r="A14" s="1">
        <f>tsla!A14</f>
        <v>45304</v>
      </c>
      <c r="B14" s="2">
        <f>tsla!B14</f>
        <v>111</v>
      </c>
      <c r="C14" s="2">
        <f>tsla!C14</f>
        <v>112</v>
      </c>
      <c r="D14" s="2">
        <f>tsla!D14</f>
        <v>110</v>
      </c>
      <c r="E14" s="2">
        <f t="shared" si="0"/>
        <v>111</v>
      </c>
      <c r="F14" s="2">
        <f t="shared" si="2"/>
        <v>109</v>
      </c>
      <c r="G14" s="2">
        <f t="shared" si="3"/>
        <v>1.2</v>
      </c>
      <c r="H14" s="12">
        <f t="shared" si="4"/>
        <v>111.11111111111111</v>
      </c>
    </row>
    <row r="15" spans="1:8" x14ac:dyDescent="0.25">
      <c r="A15" s="1">
        <f>tsla!A15</f>
        <v>45305</v>
      </c>
      <c r="B15" s="2">
        <f>tsla!B15</f>
        <v>112</v>
      </c>
      <c r="C15" s="2">
        <f>tsla!C15</f>
        <v>113</v>
      </c>
      <c r="D15" s="2">
        <f>tsla!D15</f>
        <v>111</v>
      </c>
      <c r="E15" s="2">
        <f t="shared" si="0"/>
        <v>112</v>
      </c>
      <c r="F15" s="2">
        <f t="shared" si="2"/>
        <v>110</v>
      </c>
      <c r="G15" s="2">
        <f t="shared" si="3"/>
        <v>1.2</v>
      </c>
      <c r="H15" s="12">
        <f t="shared" si="4"/>
        <v>111.11111111111111</v>
      </c>
    </row>
    <row r="16" spans="1:8" x14ac:dyDescent="0.25">
      <c r="A16" s="1">
        <f>tsla!A16</f>
        <v>45306</v>
      </c>
      <c r="B16" s="2">
        <f>tsla!B16</f>
        <v>113</v>
      </c>
      <c r="C16" s="2">
        <f>tsla!C16</f>
        <v>114</v>
      </c>
      <c r="D16" s="2">
        <f>tsla!D16</f>
        <v>112</v>
      </c>
      <c r="E16" s="2">
        <f t="shared" si="0"/>
        <v>113</v>
      </c>
      <c r="F16" s="2">
        <f t="shared" si="2"/>
        <v>111</v>
      </c>
      <c r="G16" s="2">
        <f t="shared" si="3"/>
        <v>1.2</v>
      </c>
      <c r="H16" s="12">
        <f t="shared" si="4"/>
        <v>111.11111111111111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993B-D25B-40B1-8183-F0421E4EC4FE}">
  <dimension ref="A1:D16"/>
  <sheetViews>
    <sheetView zoomScale="145" zoomScaleNormal="145" workbookViewId="0">
      <selection sqref="A1:B16"/>
    </sheetView>
  </sheetViews>
  <sheetFormatPr defaultRowHeight="15" x14ac:dyDescent="0.25"/>
  <cols>
    <col min="1" max="1" width="9.85546875" bestFit="1" customWidth="1"/>
    <col min="3" max="3" width="9.140625" style="2"/>
    <col min="4" max="4" width="11.140625" style="10" bestFit="1" customWidth="1"/>
  </cols>
  <sheetData>
    <row r="1" spans="1:4" x14ac:dyDescent="0.25">
      <c r="B1" s="2" t="s">
        <v>0</v>
      </c>
      <c r="C1" s="2" t="s">
        <v>54</v>
      </c>
      <c r="D1" s="10" t="s">
        <v>55</v>
      </c>
    </row>
    <row r="2" spans="1:4" x14ac:dyDescent="0.25">
      <c r="A2" s="1">
        <f>tsla!A2</f>
        <v>45292</v>
      </c>
      <c r="B2" s="2">
        <f>tsla!B2</f>
        <v>100</v>
      </c>
    </row>
    <row r="3" spans="1:4" x14ac:dyDescent="0.25">
      <c r="A3" s="1">
        <f>tsla!A3</f>
        <v>45293</v>
      </c>
      <c r="B3" s="2">
        <f>tsla!B3</f>
        <v>102</v>
      </c>
    </row>
    <row r="4" spans="1:4" x14ac:dyDescent="0.25">
      <c r="A4" s="1">
        <f>tsla!A4</f>
        <v>45294</v>
      </c>
      <c r="B4" s="2">
        <f>tsla!B4</f>
        <v>101</v>
      </c>
    </row>
    <row r="5" spans="1:4" x14ac:dyDescent="0.25">
      <c r="A5" s="1">
        <f>tsla!A5</f>
        <v>45295</v>
      </c>
      <c r="B5" s="2">
        <f>tsla!B5</f>
        <v>103</v>
      </c>
    </row>
    <row r="6" spans="1:4" x14ac:dyDescent="0.25">
      <c r="A6" s="1">
        <f>tsla!A6</f>
        <v>45296</v>
      </c>
      <c r="B6" s="2">
        <f>tsla!B6</f>
        <v>102</v>
      </c>
      <c r="C6" s="2">
        <f>B2</f>
        <v>100</v>
      </c>
      <c r="D6" s="10">
        <f>B6-C6</f>
        <v>2</v>
      </c>
    </row>
    <row r="7" spans="1:4" x14ac:dyDescent="0.25">
      <c r="A7" s="1">
        <f>tsla!A7</f>
        <v>45297</v>
      </c>
      <c r="B7" s="2">
        <f>tsla!B7</f>
        <v>104</v>
      </c>
      <c r="C7" s="2">
        <f>B3</f>
        <v>102</v>
      </c>
      <c r="D7" s="10">
        <f t="shared" ref="D7:D16" si="0">B7-C7</f>
        <v>2</v>
      </c>
    </row>
    <row r="8" spans="1:4" x14ac:dyDescent="0.25">
      <c r="A8" s="1">
        <f>tsla!A8</f>
        <v>45298</v>
      </c>
      <c r="B8" s="2">
        <f>tsla!B8</f>
        <v>106</v>
      </c>
      <c r="C8" s="2">
        <f>B4</f>
        <v>101</v>
      </c>
      <c r="D8" s="10">
        <f t="shared" si="0"/>
        <v>5</v>
      </c>
    </row>
    <row r="9" spans="1:4" x14ac:dyDescent="0.25">
      <c r="A9" s="1">
        <f>tsla!A9</f>
        <v>45299</v>
      </c>
      <c r="B9" s="2">
        <f>tsla!B9</f>
        <v>105</v>
      </c>
      <c r="C9" s="2">
        <f>B5</f>
        <v>103</v>
      </c>
      <c r="D9" s="10">
        <f t="shared" si="0"/>
        <v>2</v>
      </c>
    </row>
    <row r="10" spans="1:4" x14ac:dyDescent="0.25">
      <c r="A10" s="1">
        <f>tsla!A10</f>
        <v>45300</v>
      </c>
      <c r="B10" s="2">
        <f>tsla!B10</f>
        <v>107</v>
      </c>
      <c r="C10" s="2">
        <f>B6</f>
        <v>102</v>
      </c>
      <c r="D10" s="10">
        <f t="shared" si="0"/>
        <v>5</v>
      </c>
    </row>
    <row r="11" spans="1:4" x14ac:dyDescent="0.25">
      <c r="A11" s="1">
        <f>tsla!A11</f>
        <v>45301</v>
      </c>
      <c r="B11" s="2">
        <f>tsla!B11</f>
        <v>108</v>
      </c>
      <c r="C11" s="2">
        <f>B7</f>
        <v>104</v>
      </c>
      <c r="D11" s="10">
        <f t="shared" si="0"/>
        <v>4</v>
      </c>
    </row>
    <row r="12" spans="1:4" x14ac:dyDescent="0.25">
      <c r="A12" s="1">
        <f>tsla!A12</f>
        <v>45302</v>
      </c>
      <c r="B12" s="2">
        <f>tsla!B12</f>
        <v>110</v>
      </c>
      <c r="C12" s="2">
        <f>B8</f>
        <v>106</v>
      </c>
      <c r="D12" s="10">
        <f t="shared" si="0"/>
        <v>4</v>
      </c>
    </row>
    <row r="13" spans="1:4" x14ac:dyDescent="0.25">
      <c r="A13" s="1">
        <f>tsla!A13</f>
        <v>45303</v>
      </c>
      <c r="B13" s="2">
        <f>tsla!B13</f>
        <v>109</v>
      </c>
      <c r="C13" s="2">
        <f>B9</f>
        <v>105</v>
      </c>
      <c r="D13" s="10">
        <f t="shared" si="0"/>
        <v>4</v>
      </c>
    </row>
    <row r="14" spans="1:4" x14ac:dyDescent="0.25">
      <c r="A14" s="1">
        <f>tsla!A14</f>
        <v>45304</v>
      </c>
      <c r="B14" s="2">
        <f>tsla!B14</f>
        <v>111</v>
      </c>
      <c r="C14" s="2">
        <f>B10</f>
        <v>107</v>
      </c>
      <c r="D14" s="10">
        <f t="shared" si="0"/>
        <v>4</v>
      </c>
    </row>
    <row r="15" spans="1:4" x14ac:dyDescent="0.25">
      <c r="A15" s="1">
        <f>tsla!A15</f>
        <v>45305</v>
      </c>
      <c r="B15" s="2">
        <f>tsla!B15</f>
        <v>112</v>
      </c>
      <c r="C15" s="2">
        <f>B11</f>
        <v>108</v>
      </c>
      <c r="D15" s="10">
        <f t="shared" si="0"/>
        <v>4</v>
      </c>
    </row>
    <row r="16" spans="1:4" x14ac:dyDescent="0.25">
      <c r="A16" s="1">
        <f>tsla!A16</f>
        <v>45306</v>
      </c>
      <c r="B16" s="2">
        <f>tsla!B16</f>
        <v>113</v>
      </c>
      <c r="C16" s="2">
        <f>B12</f>
        <v>110</v>
      </c>
      <c r="D16" s="10">
        <f t="shared" si="0"/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9DD0-C131-45B1-BF96-D1C77A6227D5}">
  <dimension ref="A1:C16"/>
  <sheetViews>
    <sheetView zoomScale="130" zoomScaleNormal="130" workbookViewId="0">
      <selection sqref="A1:C16"/>
    </sheetView>
  </sheetViews>
  <sheetFormatPr defaultRowHeight="15" x14ac:dyDescent="0.25"/>
  <cols>
    <col min="1" max="1" width="10" bestFit="1" customWidth="1"/>
    <col min="3" max="3" width="11.42578125" style="10" bestFit="1" customWidth="1"/>
  </cols>
  <sheetData>
    <row r="1" spans="1:3" x14ac:dyDescent="0.25">
      <c r="B1" s="2" t="s">
        <v>0</v>
      </c>
      <c r="C1" s="10" t="s">
        <v>56</v>
      </c>
    </row>
    <row r="2" spans="1:3" x14ac:dyDescent="0.25">
      <c r="A2" s="1">
        <f>tsla!A2</f>
        <v>45292</v>
      </c>
      <c r="B2" s="2">
        <f>tsla!B2</f>
        <v>100</v>
      </c>
    </row>
    <row r="3" spans="1:3" x14ac:dyDescent="0.25">
      <c r="A3" s="1">
        <f>tsla!A3</f>
        <v>45293</v>
      </c>
      <c r="B3" s="2">
        <f>tsla!B3</f>
        <v>102</v>
      </c>
      <c r="C3" s="10">
        <f>(B3-B2)/B2</f>
        <v>0.02</v>
      </c>
    </row>
    <row r="4" spans="1:3" x14ac:dyDescent="0.25">
      <c r="A4" s="1">
        <f>tsla!A4</f>
        <v>45294</v>
      </c>
      <c r="B4" s="2">
        <f>tsla!B4</f>
        <v>101</v>
      </c>
      <c r="C4" s="10">
        <f t="shared" ref="C4:C16" si="0">(B4-B3)/B3</f>
        <v>-9.8039215686274508E-3</v>
      </c>
    </row>
    <row r="5" spans="1:3" x14ac:dyDescent="0.25">
      <c r="A5" s="1">
        <f>tsla!A5</f>
        <v>45295</v>
      </c>
      <c r="B5" s="2">
        <f>tsla!B5</f>
        <v>103</v>
      </c>
      <c r="C5" s="10">
        <f t="shared" si="0"/>
        <v>1.9801980198019802E-2</v>
      </c>
    </row>
    <row r="6" spans="1:3" x14ac:dyDescent="0.25">
      <c r="A6" s="1">
        <f>tsla!A6</f>
        <v>45296</v>
      </c>
      <c r="B6" s="2">
        <f>tsla!B6</f>
        <v>102</v>
      </c>
      <c r="C6" s="10">
        <f t="shared" si="0"/>
        <v>-9.7087378640776691E-3</v>
      </c>
    </row>
    <row r="7" spans="1:3" x14ac:dyDescent="0.25">
      <c r="A7" s="1">
        <f>tsla!A7</f>
        <v>45297</v>
      </c>
      <c r="B7" s="2">
        <f>tsla!B7</f>
        <v>104</v>
      </c>
      <c r="C7" s="10">
        <f t="shared" si="0"/>
        <v>1.9607843137254902E-2</v>
      </c>
    </row>
    <row r="8" spans="1:3" x14ac:dyDescent="0.25">
      <c r="A8" s="1">
        <f>tsla!A8</f>
        <v>45298</v>
      </c>
      <c r="B8" s="2">
        <f>tsla!B8</f>
        <v>106</v>
      </c>
      <c r="C8" s="10">
        <f t="shared" si="0"/>
        <v>1.9230769230769232E-2</v>
      </c>
    </row>
    <row r="9" spans="1:3" x14ac:dyDescent="0.25">
      <c r="A9" s="1">
        <f>tsla!A9</f>
        <v>45299</v>
      </c>
      <c r="B9" s="2">
        <f>tsla!B9</f>
        <v>105</v>
      </c>
      <c r="C9" s="10">
        <f t="shared" si="0"/>
        <v>-9.433962264150943E-3</v>
      </c>
    </row>
    <row r="10" spans="1:3" x14ac:dyDescent="0.25">
      <c r="A10" s="1">
        <f>tsla!A10</f>
        <v>45300</v>
      </c>
      <c r="B10" s="2">
        <f>tsla!B10</f>
        <v>107</v>
      </c>
      <c r="C10" s="10">
        <f t="shared" si="0"/>
        <v>1.9047619047619049E-2</v>
      </c>
    </row>
    <row r="11" spans="1:3" x14ac:dyDescent="0.25">
      <c r="A11" s="1">
        <f>tsla!A11</f>
        <v>45301</v>
      </c>
      <c r="B11" s="2">
        <f>tsla!B11</f>
        <v>108</v>
      </c>
      <c r="C11" s="10">
        <f t="shared" si="0"/>
        <v>9.3457943925233638E-3</v>
      </c>
    </row>
    <row r="12" spans="1:3" x14ac:dyDescent="0.25">
      <c r="A12" s="1">
        <f>tsla!A12</f>
        <v>45302</v>
      </c>
      <c r="B12" s="2">
        <f>tsla!B12</f>
        <v>110</v>
      </c>
      <c r="C12" s="10">
        <f t="shared" si="0"/>
        <v>1.8518518518518517E-2</v>
      </c>
    </row>
    <row r="13" spans="1:3" x14ac:dyDescent="0.25">
      <c r="A13" s="1">
        <f>tsla!A13</f>
        <v>45303</v>
      </c>
      <c r="B13" s="2">
        <f>tsla!B13</f>
        <v>109</v>
      </c>
      <c r="C13" s="10">
        <f t="shared" si="0"/>
        <v>-9.0909090909090905E-3</v>
      </c>
    </row>
    <row r="14" spans="1:3" x14ac:dyDescent="0.25">
      <c r="A14" s="1">
        <f>tsla!A14</f>
        <v>45304</v>
      </c>
      <c r="B14" s="2">
        <f>tsla!B14</f>
        <v>111</v>
      </c>
      <c r="C14" s="10">
        <f t="shared" si="0"/>
        <v>1.834862385321101E-2</v>
      </c>
    </row>
    <row r="15" spans="1:3" x14ac:dyDescent="0.25">
      <c r="A15" s="1">
        <f>tsla!A15</f>
        <v>45305</v>
      </c>
      <c r="B15" s="2">
        <f>tsla!B15</f>
        <v>112</v>
      </c>
      <c r="C15" s="10">
        <f t="shared" si="0"/>
        <v>9.0090090090090089E-3</v>
      </c>
    </row>
    <row r="16" spans="1:3" x14ac:dyDescent="0.25">
      <c r="A16" s="1">
        <f>tsla!A16</f>
        <v>45306</v>
      </c>
      <c r="B16" s="2">
        <f>tsla!B16</f>
        <v>113</v>
      </c>
      <c r="C16" s="10">
        <f t="shared" si="0"/>
        <v>8.9285714285714281E-3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339F-8C17-4C49-8213-1F507C34F739}">
  <dimension ref="A1:D16"/>
  <sheetViews>
    <sheetView zoomScale="130" zoomScaleNormal="130" workbookViewId="0">
      <selection activeCell="E20" sqref="E20"/>
    </sheetView>
  </sheetViews>
  <sheetFormatPr defaultRowHeight="15" x14ac:dyDescent="0.25"/>
  <cols>
    <col min="1" max="1" width="10" bestFit="1" customWidth="1"/>
    <col min="3" max="3" width="11.42578125" bestFit="1" customWidth="1"/>
    <col min="4" max="4" width="11" style="10" bestFit="1" customWidth="1"/>
  </cols>
  <sheetData>
    <row r="1" spans="1:4" x14ac:dyDescent="0.25">
      <c r="B1" s="2" t="s">
        <v>0</v>
      </c>
      <c r="C1" s="10" t="s">
        <v>56</v>
      </c>
      <c r="D1" s="10" t="s">
        <v>57</v>
      </c>
    </row>
    <row r="2" spans="1:4" x14ac:dyDescent="0.25">
      <c r="A2" s="1">
        <f>tsla!A2</f>
        <v>45292</v>
      </c>
      <c r="B2" s="2">
        <f>tsla!B2</f>
        <v>100</v>
      </c>
      <c r="C2" s="10"/>
      <c r="D2" s="10">
        <v>0</v>
      </c>
    </row>
    <row r="3" spans="1:4" x14ac:dyDescent="0.25">
      <c r="A3" s="1">
        <f>tsla!A3</f>
        <v>45293</v>
      </c>
      <c r="B3" s="2">
        <f>tsla!B3</f>
        <v>102</v>
      </c>
      <c r="C3" s="10">
        <f>(B3-B2)/B2</f>
        <v>0.02</v>
      </c>
      <c r="D3" s="10">
        <f>(1+C3)*D2+C3</f>
        <v>0.02</v>
      </c>
    </row>
    <row r="4" spans="1:4" x14ac:dyDescent="0.25">
      <c r="A4" s="1">
        <f>tsla!A4</f>
        <v>45294</v>
      </c>
      <c r="B4" s="2">
        <f>tsla!B4</f>
        <v>101</v>
      </c>
      <c r="C4" s="10">
        <f t="shared" ref="C4:C16" si="0">(B4-B3)/B3</f>
        <v>-9.8039215686274508E-3</v>
      </c>
      <c r="D4" s="10">
        <f t="shared" ref="D4:D16" si="1">(1+C4)*D3+C4</f>
        <v>1.0000000000000002E-2</v>
      </c>
    </row>
    <row r="5" spans="1:4" x14ac:dyDescent="0.25">
      <c r="A5" s="1">
        <f>tsla!A5</f>
        <v>45295</v>
      </c>
      <c r="B5" s="2">
        <f>tsla!B5</f>
        <v>103</v>
      </c>
      <c r="C5" s="10">
        <f t="shared" si="0"/>
        <v>1.9801980198019802E-2</v>
      </c>
      <c r="D5" s="10">
        <f t="shared" si="1"/>
        <v>3.0000000000000002E-2</v>
      </c>
    </row>
    <row r="6" spans="1:4" x14ac:dyDescent="0.25">
      <c r="A6" s="1">
        <f>tsla!A6</f>
        <v>45296</v>
      </c>
      <c r="B6" s="2">
        <f>tsla!B6</f>
        <v>102</v>
      </c>
      <c r="C6" s="10">
        <f t="shared" si="0"/>
        <v>-9.7087378640776691E-3</v>
      </c>
      <c r="D6" s="10">
        <f t="shared" si="1"/>
        <v>2.0000000000000004E-2</v>
      </c>
    </row>
    <row r="7" spans="1:4" x14ac:dyDescent="0.25">
      <c r="A7" s="1">
        <f>tsla!A7</f>
        <v>45297</v>
      </c>
      <c r="B7" s="2">
        <f>tsla!B7</f>
        <v>104</v>
      </c>
      <c r="C7" s="10">
        <f t="shared" si="0"/>
        <v>1.9607843137254902E-2</v>
      </c>
      <c r="D7" s="10">
        <f t="shared" si="1"/>
        <v>0.04</v>
      </c>
    </row>
    <row r="8" spans="1:4" x14ac:dyDescent="0.25">
      <c r="A8" s="1">
        <f>tsla!A8</f>
        <v>45298</v>
      </c>
      <c r="B8" s="2">
        <f>tsla!B8</f>
        <v>106</v>
      </c>
      <c r="C8" s="10">
        <f t="shared" si="0"/>
        <v>1.9230769230769232E-2</v>
      </c>
      <c r="D8" s="10">
        <f t="shared" si="1"/>
        <v>0.06</v>
      </c>
    </row>
    <row r="9" spans="1:4" x14ac:dyDescent="0.25">
      <c r="A9" s="1">
        <f>tsla!A9</f>
        <v>45299</v>
      </c>
      <c r="B9" s="2">
        <f>tsla!B9</f>
        <v>105</v>
      </c>
      <c r="C9" s="10">
        <f t="shared" si="0"/>
        <v>-9.433962264150943E-3</v>
      </c>
      <c r="D9" s="10">
        <f t="shared" si="1"/>
        <v>0.05</v>
      </c>
    </row>
    <row r="10" spans="1:4" x14ac:dyDescent="0.25">
      <c r="A10" s="1">
        <f>tsla!A10</f>
        <v>45300</v>
      </c>
      <c r="B10" s="2">
        <f>tsla!B10</f>
        <v>107</v>
      </c>
      <c r="C10" s="10">
        <f t="shared" si="0"/>
        <v>1.9047619047619049E-2</v>
      </c>
      <c r="D10" s="10">
        <f t="shared" si="1"/>
        <v>7.0000000000000007E-2</v>
      </c>
    </row>
    <row r="11" spans="1:4" x14ac:dyDescent="0.25">
      <c r="A11" s="1">
        <f>tsla!A11</f>
        <v>45301</v>
      </c>
      <c r="B11" s="2">
        <f>tsla!B11</f>
        <v>108</v>
      </c>
      <c r="C11" s="10">
        <f t="shared" si="0"/>
        <v>9.3457943925233638E-3</v>
      </c>
      <c r="D11" s="10">
        <f t="shared" si="1"/>
        <v>0.08</v>
      </c>
    </row>
    <row r="12" spans="1:4" x14ac:dyDescent="0.25">
      <c r="A12" s="1">
        <f>tsla!A12</f>
        <v>45302</v>
      </c>
      <c r="B12" s="2">
        <f>tsla!B12</f>
        <v>110</v>
      </c>
      <c r="C12" s="10">
        <f t="shared" si="0"/>
        <v>1.8518518518518517E-2</v>
      </c>
      <c r="D12" s="10">
        <f t="shared" si="1"/>
        <v>0.1</v>
      </c>
    </row>
    <row r="13" spans="1:4" x14ac:dyDescent="0.25">
      <c r="A13" s="1">
        <f>tsla!A13</f>
        <v>45303</v>
      </c>
      <c r="B13" s="2">
        <f>tsla!B13</f>
        <v>109</v>
      </c>
      <c r="C13" s="10">
        <f t="shared" si="0"/>
        <v>-9.0909090909090905E-3</v>
      </c>
      <c r="D13" s="10">
        <f t="shared" si="1"/>
        <v>9.0000000000000011E-2</v>
      </c>
    </row>
    <row r="14" spans="1:4" x14ac:dyDescent="0.25">
      <c r="A14" s="1">
        <f>tsla!A14</f>
        <v>45304</v>
      </c>
      <c r="B14" s="2">
        <f>tsla!B14</f>
        <v>111</v>
      </c>
      <c r="C14" s="10">
        <f t="shared" si="0"/>
        <v>1.834862385321101E-2</v>
      </c>
      <c r="D14" s="10">
        <f t="shared" si="1"/>
        <v>0.11</v>
      </c>
    </row>
    <row r="15" spans="1:4" x14ac:dyDescent="0.25">
      <c r="A15" s="1">
        <f>tsla!A15</f>
        <v>45305</v>
      </c>
      <c r="B15" s="2">
        <f>tsla!B15</f>
        <v>112</v>
      </c>
      <c r="C15" s="10">
        <f t="shared" si="0"/>
        <v>9.0090090090090089E-3</v>
      </c>
      <c r="D15" s="10">
        <f t="shared" si="1"/>
        <v>0.12</v>
      </c>
    </row>
    <row r="16" spans="1:4" x14ac:dyDescent="0.25">
      <c r="A16" s="1">
        <f>tsla!A16</f>
        <v>45306</v>
      </c>
      <c r="B16" s="2">
        <f>tsla!B16</f>
        <v>113</v>
      </c>
      <c r="C16" s="10">
        <f t="shared" si="0"/>
        <v>8.9285714285714281E-3</v>
      </c>
      <c r="D16" s="10">
        <f t="shared" si="1"/>
        <v>0.13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8832-A0B9-45D0-B271-3FAA96510E1C}">
  <dimension ref="A1:G11"/>
  <sheetViews>
    <sheetView zoomScale="130" zoomScaleNormal="130" workbookViewId="0">
      <selection activeCell="D6" sqref="D6"/>
    </sheetView>
  </sheetViews>
  <sheetFormatPr defaultRowHeight="15" x14ac:dyDescent="0.25"/>
  <cols>
    <col min="1" max="1" width="10.5703125" customWidth="1"/>
    <col min="3" max="4" width="9.140625" style="2"/>
    <col min="6" max="6" width="12.5703125" customWidth="1"/>
    <col min="7" max="7" width="14.140625" customWidth="1"/>
  </cols>
  <sheetData>
    <row r="1" spans="1:7" x14ac:dyDescent="0.25">
      <c r="B1" s="2" t="s">
        <v>0</v>
      </c>
      <c r="C1" s="2" t="s">
        <v>62</v>
      </c>
      <c r="D1" s="2" t="s">
        <v>58</v>
      </c>
      <c r="E1" s="2" t="s">
        <v>59</v>
      </c>
      <c r="F1" s="2" t="s">
        <v>60</v>
      </c>
      <c r="G1" s="2" t="s">
        <v>61</v>
      </c>
    </row>
    <row r="2" spans="1:7" x14ac:dyDescent="0.25">
      <c r="A2" s="1">
        <f>aapl!A2</f>
        <v>45292</v>
      </c>
      <c r="B2" s="2">
        <f>aapl!B2</f>
        <v>100</v>
      </c>
    </row>
    <row r="3" spans="1:7" x14ac:dyDescent="0.25">
      <c r="A3" s="1">
        <f>aapl!A3</f>
        <v>45293</v>
      </c>
      <c r="B3" s="2">
        <f>aapl!B3</f>
        <v>101</v>
      </c>
    </row>
    <row r="4" spans="1:7" x14ac:dyDescent="0.25">
      <c r="A4" s="1">
        <f>aapl!A4</f>
        <v>45294</v>
      </c>
      <c r="B4" s="2">
        <f>aapl!B4</f>
        <v>102</v>
      </c>
    </row>
    <row r="5" spans="1:7" x14ac:dyDescent="0.25">
      <c r="A5" s="1">
        <f>aapl!A5</f>
        <v>45295</v>
      </c>
      <c r="B5" s="2">
        <f>aapl!B5</f>
        <v>103</v>
      </c>
    </row>
    <row r="6" spans="1:7" x14ac:dyDescent="0.25">
      <c r="A6" s="1">
        <f>aapl!A6</f>
        <v>45296</v>
      </c>
      <c r="B6" s="2">
        <f>aapl!B6</f>
        <v>104</v>
      </c>
      <c r="C6" s="2">
        <f>AVERAGE(B2:B6)</f>
        <v>102</v>
      </c>
      <c r="D6" s="2">
        <f>STDEV((B2:B6))</f>
        <v>1.5811388300841898</v>
      </c>
      <c r="E6">
        <v>2</v>
      </c>
      <c r="F6">
        <f>C6+E6*D6</f>
        <v>105.16227766016839</v>
      </c>
      <c r="G6">
        <f>C6-E6*D6</f>
        <v>98.837722339831615</v>
      </c>
    </row>
    <row r="7" spans="1:7" x14ac:dyDescent="0.25">
      <c r="A7" s="1">
        <f>aapl!A7</f>
        <v>45297</v>
      </c>
      <c r="B7" s="2">
        <f>aapl!B7</f>
        <v>105</v>
      </c>
      <c r="C7" s="2">
        <f t="shared" ref="C7:C11" si="0">AVERAGE(B3:B7)</f>
        <v>103</v>
      </c>
      <c r="D7" s="2">
        <f>STDEV((B3:B7))</f>
        <v>1.5811388300841898</v>
      </c>
      <c r="E7">
        <f>E6</f>
        <v>2</v>
      </c>
      <c r="F7">
        <f t="shared" ref="F7:F11" si="1">C7+E7*D7</f>
        <v>106.16227766016839</v>
      </c>
      <c r="G7">
        <f t="shared" ref="G7:G11" si="2">C7-E7*D7</f>
        <v>99.837722339831615</v>
      </c>
    </row>
    <row r="8" spans="1:7" x14ac:dyDescent="0.25">
      <c r="A8" s="1">
        <f>aapl!A8</f>
        <v>45298</v>
      </c>
      <c r="B8" s="2">
        <f>aapl!B8</f>
        <v>106</v>
      </c>
      <c r="C8" s="2">
        <f t="shared" si="0"/>
        <v>104</v>
      </c>
      <c r="D8" s="2">
        <f>STDEV((B4:B8))</f>
        <v>1.5811388300841898</v>
      </c>
      <c r="E8">
        <f t="shared" ref="E8:E11" si="3">E7</f>
        <v>2</v>
      </c>
      <c r="F8">
        <f t="shared" si="1"/>
        <v>107.16227766016839</v>
      </c>
      <c r="G8">
        <f t="shared" si="2"/>
        <v>100.83772233983161</v>
      </c>
    </row>
    <row r="9" spans="1:7" x14ac:dyDescent="0.25">
      <c r="A9" s="1">
        <f>aapl!A9</f>
        <v>45299</v>
      </c>
      <c r="B9" s="2">
        <f>aapl!B9</f>
        <v>107</v>
      </c>
      <c r="C9" s="2">
        <f t="shared" si="0"/>
        <v>105</v>
      </c>
      <c r="D9" s="2">
        <f t="shared" ref="D7:D11" si="4">STDEV((B5:B9))</f>
        <v>1.5811388300841898</v>
      </c>
      <c r="E9">
        <f t="shared" si="3"/>
        <v>2</v>
      </c>
      <c r="F9">
        <f t="shared" si="1"/>
        <v>108.16227766016839</v>
      </c>
      <c r="G9">
        <f t="shared" si="2"/>
        <v>101.83772233983161</v>
      </c>
    </row>
    <row r="10" spans="1:7" x14ac:dyDescent="0.25">
      <c r="A10" s="1">
        <f>aapl!A10</f>
        <v>45300</v>
      </c>
      <c r="B10" s="2">
        <f>aapl!B10</f>
        <v>108</v>
      </c>
      <c r="C10" s="2">
        <f t="shared" si="0"/>
        <v>106</v>
      </c>
      <c r="D10" s="2">
        <f t="shared" si="4"/>
        <v>1.5811388300841898</v>
      </c>
      <c r="E10">
        <f t="shared" si="3"/>
        <v>2</v>
      </c>
      <c r="F10">
        <f t="shared" si="1"/>
        <v>109.16227766016839</v>
      </c>
      <c r="G10">
        <f t="shared" si="2"/>
        <v>102.83772233983161</v>
      </c>
    </row>
    <row r="11" spans="1:7" x14ac:dyDescent="0.25">
      <c r="A11" s="1">
        <f>aapl!A11</f>
        <v>45301</v>
      </c>
      <c r="B11" s="2">
        <f>aapl!B11</f>
        <v>109</v>
      </c>
      <c r="C11" s="2">
        <f t="shared" si="0"/>
        <v>107</v>
      </c>
      <c r="D11" s="2">
        <f t="shared" si="4"/>
        <v>1.5811388300841898</v>
      </c>
      <c r="E11">
        <f t="shared" si="3"/>
        <v>2</v>
      </c>
      <c r="F11">
        <f t="shared" si="1"/>
        <v>110.16227766016839</v>
      </c>
      <c r="G11">
        <f t="shared" si="2"/>
        <v>103.83772233983161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5762-4202-478D-B212-D9BD54060A8A}">
  <dimension ref="A1:I16"/>
  <sheetViews>
    <sheetView zoomScale="130" zoomScaleNormal="130" workbookViewId="0">
      <selection activeCell="I16" sqref="A1:I16"/>
    </sheetView>
  </sheetViews>
  <sheetFormatPr defaultRowHeight="15" x14ac:dyDescent="0.25"/>
  <cols>
    <col min="1" max="1" width="11.5703125" customWidth="1"/>
    <col min="5" max="5" width="10.85546875" customWidth="1"/>
    <col min="6" max="6" width="9.140625" style="2"/>
    <col min="7" max="7" width="15" style="2" bestFit="1" customWidth="1"/>
    <col min="8" max="8" width="15.140625" style="2" bestFit="1" customWidth="1"/>
    <col min="9" max="9" width="9.140625" style="2"/>
  </cols>
  <sheetData>
    <row r="1" spans="1:9" x14ac:dyDescent="0.25">
      <c r="B1" s="2" t="s">
        <v>0</v>
      </c>
      <c r="C1" s="2" t="s">
        <v>1</v>
      </c>
      <c r="D1" s="2" t="s">
        <v>2</v>
      </c>
      <c r="E1" s="2" t="s">
        <v>63</v>
      </c>
      <c r="F1" s="2" t="s">
        <v>13</v>
      </c>
      <c r="G1" s="2" t="s">
        <v>64</v>
      </c>
      <c r="H1" s="2" t="s">
        <v>65</v>
      </c>
      <c r="I1" s="2" t="s">
        <v>66</v>
      </c>
    </row>
    <row r="2" spans="1:9" x14ac:dyDescent="0.25">
      <c r="A2" s="1">
        <f>tsla!A2</f>
        <v>45292</v>
      </c>
      <c r="B2" s="2">
        <f>tsla!B2</f>
        <v>100</v>
      </c>
      <c r="C2" s="2">
        <f>tsla!C2</f>
        <v>101</v>
      </c>
      <c r="D2" s="2">
        <f>tsla!D2</f>
        <v>99</v>
      </c>
      <c r="F2" s="2">
        <f>C2-D2</f>
        <v>2</v>
      </c>
      <c r="I2" s="2">
        <f>MAX(F2:H2)</f>
        <v>2</v>
      </c>
    </row>
    <row r="3" spans="1:9" x14ac:dyDescent="0.25">
      <c r="A3" s="1">
        <f>tsla!A3</f>
        <v>45293</v>
      </c>
      <c r="B3" s="2">
        <f>tsla!B3</f>
        <v>102</v>
      </c>
      <c r="C3" s="2">
        <f>tsla!C3</f>
        <v>103</v>
      </c>
      <c r="D3" s="2">
        <f>tsla!D3</f>
        <v>101</v>
      </c>
      <c r="E3">
        <f>B2</f>
        <v>100</v>
      </c>
      <c r="F3" s="2">
        <f t="shared" ref="F3:F16" si="0">C3-D3</f>
        <v>2</v>
      </c>
      <c r="G3" s="2">
        <f>C3-E3</f>
        <v>3</v>
      </c>
      <c r="H3" s="2">
        <f>D3-E3</f>
        <v>1</v>
      </c>
      <c r="I3" s="2">
        <f t="shared" ref="I3:I16" si="1">MAX(F3:H3)</f>
        <v>3</v>
      </c>
    </row>
    <row r="4" spans="1:9" x14ac:dyDescent="0.25">
      <c r="A4" s="1">
        <f>tsla!A4</f>
        <v>45294</v>
      </c>
      <c r="B4" s="2">
        <f>tsla!B4</f>
        <v>101</v>
      </c>
      <c r="C4" s="2">
        <f>tsla!C4</f>
        <v>102</v>
      </c>
      <c r="D4" s="2">
        <f>tsla!D4</f>
        <v>100</v>
      </c>
      <c r="E4">
        <f t="shared" ref="E4:E16" si="2">B3</f>
        <v>102</v>
      </c>
      <c r="F4" s="2">
        <f t="shared" si="0"/>
        <v>2</v>
      </c>
      <c r="G4" s="2">
        <f t="shared" ref="G4:G16" si="3">C4-E4</f>
        <v>0</v>
      </c>
      <c r="H4" s="2">
        <f t="shared" ref="H4:H16" si="4">D4-E4</f>
        <v>-2</v>
      </c>
      <c r="I4" s="2">
        <f t="shared" si="1"/>
        <v>2</v>
      </c>
    </row>
    <row r="5" spans="1:9" x14ac:dyDescent="0.25">
      <c r="A5" s="1">
        <f>tsla!A5</f>
        <v>45295</v>
      </c>
      <c r="B5" s="2">
        <f>tsla!B5</f>
        <v>103</v>
      </c>
      <c r="C5" s="2">
        <f>tsla!C5</f>
        <v>104</v>
      </c>
      <c r="D5" s="2">
        <f>tsla!D5</f>
        <v>102</v>
      </c>
      <c r="E5">
        <f t="shared" si="2"/>
        <v>101</v>
      </c>
      <c r="F5" s="2">
        <f t="shared" si="0"/>
        <v>2</v>
      </c>
      <c r="G5" s="2">
        <f t="shared" si="3"/>
        <v>3</v>
      </c>
      <c r="H5" s="2">
        <f t="shared" si="4"/>
        <v>1</v>
      </c>
      <c r="I5" s="2">
        <f t="shared" si="1"/>
        <v>3</v>
      </c>
    </row>
    <row r="6" spans="1:9" x14ac:dyDescent="0.25">
      <c r="A6" s="1">
        <f>tsla!A6</f>
        <v>45296</v>
      </c>
      <c r="B6" s="2">
        <f>tsla!B6</f>
        <v>102</v>
      </c>
      <c r="C6" s="2">
        <f>tsla!C6</f>
        <v>103</v>
      </c>
      <c r="D6" s="2">
        <f>tsla!D6</f>
        <v>101</v>
      </c>
      <c r="E6">
        <f t="shared" si="2"/>
        <v>103</v>
      </c>
      <c r="F6" s="2">
        <f t="shared" si="0"/>
        <v>2</v>
      </c>
      <c r="G6" s="2">
        <f t="shared" si="3"/>
        <v>0</v>
      </c>
      <c r="H6" s="2">
        <f t="shared" si="4"/>
        <v>-2</v>
      </c>
      <c r="I6" s="2">
        <f t="shared" si="1"/>
        <v>2</v>
      </c>
    </row>
    <row r="7" spans="1:9" x14ac:dyDescent="0.25">
      <c r="A7" s="1">
        <f>tsla!A7</f>
        <v>45297</v>
      </c>
      <c r="B7" s="2">
        <f>tsla!B7</f>
        <v>104</v>
      </c>
      <c r="C7" s="2">
        <f>tsla!C7</f>
        <v>105</v>
      </c>
      <c r="D7" s="2">
        <f>tsla!D7</f>
        <v>103</v>
      </c>
      <c r="E7">
        <f t="shared" si="2"/>
        <v>102</v>
      </c>
      <c r="F7" s="2">
        <f t="shared" si="0"/>
        <v>2</v>
      </c>
      <c r="G7" s="2">
        <f t="shared" si="3"/>
        <v>3</v>
      </c>
      <c r="H7" s="2">
        <f t="shared" si="4"/>
        <v>1</v>
      </c>
      <c r="I7" s="2">
        <f t="shared" si="1"/>
        <v>3</v>
      </c>
    </row>
    <row r="8" spans="1:9" x14ac:dyDescent="0.25">
      <c r="A8" s="1">
        <f>tsla!A8</f>
        <v>45298</v>
      </c>
      <c r="B8" s="2">
        <f>tsla!B8</f>
        <v>106</v>
      </c>
      <c r="C8" s="2">
        <f>tsla!C8</f>
        <v>107</v>
      </c>
      <c r="D8" s="2">
        <f>tsla!D8</f>
        <v>105</v>
      </c>
      <c r="E8">
        <f t="shared" si="2"/>
        <v>104</v>
      </c>
      <c r="F8" s="2">
        <f t="shared" si="0"/>
        <v>2</v>
      </c>
      <c r="G8" s="2">
        <f t="shared" si="3"/>
        <v>3</v>
      </c>
      <c r="H8" s="2">
        <f t="shared" si="4"/>
        <v>1</v>
      </c>
      <c r="I8" s="2">
        <f t="shared" si="1"/>
        <v>3</v>
      </c>
    </row>
    <row r="9" spans="1:9" x14ac:dyDescent="0.25">
      <c r="A9" s="1">
        <f>tsla!A9</f>
        <v>45299</v>
      </c>
      <c r="B9" s="2">
        <f>tsla!B9</f>
        <v>105</v>
      </c>
      <c r="C9" s="2">
        <f>tsla!C9</f>
        <v>106</v>
      </c>
      <c r="D9" s="2">
        <f>tsla!D9</f>
        <v>104</v>
      </c>
      <c r="E9">
        <f t="shared" si="2"/>
        <v>106</v>
      </c>
      <c r="F9" s="2">
        <f t="shared" si="0"/>
        <v>2</v>
      </c>
      <c r="G9" s="2">
        <f t="shared" si="3"/>
        <v>0</v>
      </c>
      <c r="H9" s="2">
        <f t="shared" si="4"/>
        <v>-2</v>
      </c>
      <c r="I9" s="2">
        <f t="shared" si="1"/>
        <v>2</v>
      </c>
    </row>
    <row r="10" spans="1:9" x14ac:dyDescent="0.25">
      <c r="A10" s="1">
        <f>tsla!A10</f>
        <v>45300</v>
      </c>
      <c r="B10" s="2">
        <f>tsla!B10</f>
        <v>107</v>
      </c>
      <c r="C10" s="2">
        <f>tsla!C10</f>
        <v>108</v>
      </c>
      <c r="D10" s="2">
        <f>tsla!D10</f>
        <v>106</v>
      </c>
      <c r="E10">
        <f t="shared" si="2"/>
        <v>105</v>
      </c>
      <c r="F10" s="2">
        <f t="shared" si="0"/>
        <v>2</v>
      </c>
      <c r="G10" s="2">
        <f t="shared" si="3"/>
        <v>3</v>
      </c>
      <c r="H10" s="2">
        <f t="shared" si="4"/>
        <v>1</v>
      </c>
      <c r="I10" s="2">
        <f t="shared" si="1"/>
        <v>3</v>
      </c>
    </row>
    <row r="11" spans="1:9" x14ac:dyDescent="0.25">
      <c r="A11" s="1">
        <f>tsla!A11</f>
        <v>45301</v>
      </c>
      <c r="B11" s="2">
        <f>tsla!B11</f>
        <v>108</v>
      </c>
      <c r="C11" s="2">
        <f>tsla!C11</f>
        <v>109</v>
      </c>
      <c r="D11" s="2">
        <f>tsla!D11</f>
        <v>107</v>
      </c>
      <c r="E11">
        <f t="shared" si="2"/>
        <v>107</v>
      </c>
      <c r="F11" s="2">
        <f t="shared" si="0"/>
        <v>2</v>
      </c>
      <c r="G11" s="2">
        <f t="shared" si="3"/>
        <v>2</v>
      </c>
      <c r="H11" s="2">
        <f t="shared" si="4"/>
        <v>0</v>
      </c>
      <c r="I11" s="2">
        <f t="shared" si="1"/>
        <v>2</v>
      </c>
    </row>
    <row r="12" spans="1:9" x14ac:dyDescent="0.25">
      <c r="A12" s="1">
        <f>tsla!A12</f>
        <v>45302</v>
      </c>
      <c r="B12" s="2">
        <f>tsla!B12</f>
        <v>110</v>
      </c>
      <c r="C12" s="2">
        <f>tsla!C12</f>
        <v>111</v>
      </c>
      <c r="D12" s="2">
        <f>tsla!D12</f>
        <v>109</v>
      </c>
      <c r="E12">
        <f t="shared" si="2"/>
        <v>108</v>
      </c>
      <c r="F12" s="2">
        <f t="shared" si="0"/>
        <v>2</v>
      </c>
      <c r="G12" s="2">
        <f t="shared" si="3"/>
        <v>3</v>
      </c>
      <c r="H12" s="2">
        <f t="shared" si="4"/>
        <v>1</v>
      </c>
      <c r="I12" s="2">
        <f t="shared" si="1"/>
        <v>3</v>
      </c>
    </row>
    <row r="13" spans="1:9" x14ac:dyDescent="0.25">
      <c r="A13" s="1">
        <f>tsla!A13</f>
        <v>45303</v>
      </c>
      <c r="B13" s="2">
        <f>tsla!B13</f>
        <v>109</v>
      </c>
      <c r="C13" s="2">
        <f>tsla!C13</f>
        <v>110</v>
      </c>
      <c r="D13" s="2">
        <f>tsla!D13</f>
        <v>108</v>
      </c>
      <c r="E13">
        <f t="shared" si="2"/>
        <v>110</v>
      </c>
      <c r="F13" s="2">
        <f t="shared" si="0"/>
        <v>2</v>
      </c>
      <c r="G13" s="2">
        <f t="shared" si="3"/>
        <v>0</v>
      </c>
      <c r="H13" s="2">
        <f t="shared" si="4"/>
        <v>-2</v>
      </c>
      <c r="I13" s="2">
        <f t="shared" si="1"/>
        <v>2</v>
      </c>
    </row>
    <row r="14" spans="1:9" x14ac:dyDescent="0.25">
      <c r="A14" s="1">
        <f>tsla!A14</f>
        <v>45304</v>
      </c>
      <c r="B14" s="2">
        <f>tsla!B14</f>
        <v>111</v>
      </c>
      <c r="C14" s="2">
        <f>tsla!C14</f>
        <v>112</v>
      </c>
      <c r="D14" s="2">
        <f>tsla!D14</f>
        <v>110</v>
      </c>
      <c r="E14">
        <f t="shared" si="2"/>
        <v>109</v>
      </c>
      <c r="F14" s="2">
        <f t="shared" si="0"/>
        <v>2</v>
      </c>
      <c r="G14" s="2">
        <f t="shared" si="3"/>
        <v>3</v>
      </c>
      <c r="H14" s="2">
        <f t="shared" si="4"/>
        <v>1</v>
      </c>
      <c r="I14" s="2">
        <f t="shared" si="1"/>
        <v>3</v>
      </c>
    </row>
    <row r="15" spans="1:9" x14ac:dyDescent="0.25">
      <c r="A15" s="1">
        <f>tsla!A15</f>
        <v>45305</v>
      </c>
      <c r="B15" s="2">
        <f>tsla!B15</f>
        <v>112</v>
      </c>
      <c r="C15" s="2">
        <f>tsla!C15</f>
        <v>113</v>
      </c>
      <c r="D15" s="2">
        <f>tsla!D15</f>
        <v>111</v>
      </c>
      <c r="E15">
        <f t="shared" si="2"/>
        <v>111</v>
      </c>
      <c r="F15" s="2">
        <f t="shared" si="0"/>
        <v>2</v>
      </c>
      <c r="G15" s="2">
        <f t="shared" si="3"/>
        <v>2</v>
      </c>
      <c r="H15" s="2">
        <f t="shared" si="4"/>
        <v>0</v>
      </c>
      <c r="I15" s="2">
        <f t="shared" si="1"/>
        <v>2</v>
      </c>
    </row>
    <row r="16" spans="1:9" x14ac:dyDescent="0.25">
      <c r="A16" s="1">
        <f>tsla!A16</f>
        <v>45306</v>
      </c>
      <c r="B16" s="2">
        <f>tsla!B16</f>
        <v>113</v>
      </c>
      <c r="C16" s="2">
        <f>tsla!C16</f>
        <v>114</v>
      </c>
      <c r="D16" s="2">
        <f>tsla!D16</f>
        <v>112</v>
      </c>
      <c r="E16">
        <f t="shared" si="2"/>
        <v>112</v>
      </c>
      <c r="F16" s="2">
        <f t="shared" si="0"/>
        <v>2</v>
      </c>
      <c r="G16" s="2">
        <f t="shared" si="3"/>
        <v>2</v>
      </c>
      <c r="H16" s="2">
        <f t="shared" si="4"/>
        <v>0</v>
      </c>
      <c r="I16" s="2">
        <f t="shared" si="1"/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CD3D-9375-4A1E-AF58-775CC111F44A}">
  <dimension ref="A1:J16"/>
  <sheetViews>
    <sheetView zoomScale="145" zoomScaleNormal="145" workbookViewId="0">
      <selection sqref="A1:D16"/>
    </sheetView>
  </sheetViews>
  <sheetFormatPr defaultRowHeight="15" x14ac:dyDescent="0.25"/>
  <cols>
    <col min="1" max="1" width="12.85546875" customWidth="1"/>
    <col min="10" max="10" width="9.140625" style="2"/>
  </cols>
  <sheetData>
    <row r="1" spans="1:10" x14ac:dyDescent="0.25">
      <c r="B1" s="2" t="s">
        <v>0</v>
      </c>
      <c r="C1" s="2" t="s">
        <v>1</v>
      </c>
      <c r="D1" s="2" t="s">
        <v>2</v>
      </c>
      <c r="E1" s="2" t="s">
        <v>63</v>
      </c>
      <c r="F1" s="2" t="s">
        <v>13</v>
      </c>
      <c r="G1" s="2" t="s">
        <v>64</v>
      </c>
      <c r="H1" s="2" t="s">
        <v>65</v>
      </c>
      <c r="I1" s="2" t="s">
        <v>66</v>
      </c>
      <c r="J1" s="2" t="s">
        <v>67</v>
      </c>
    </row>
    <row r="2" spans="1:10" x14ac:dyDescent="0.25">
      <c r="A2" s="1">
        <f>tsla!A2</f>
        <v>45292</v>
      </c>
      <c r="B2" s="2">
        <f>tsla!B2</f>
        <v>100</v>
      </c>
      <c r="C2" s="2">
        <f>tsla!C2</f>
        <v>101</v>
      </c>
      <c r="D2" s="2">
        <f>tsla!D2</f>
        <v>99</v>
      </c>
      <c r="F2" s="2">
        <f>C2-D2</f>
        <v>2</v>
      </c>
      <c r="G2" s="2"/>
      <c r="H2" s="2"/>
      <c r="I2" s="2">
        <f>MAX(F2:H2)</f>
        <v>2</v>
      </c>
    </row>
    <row r="3" spans="1:10" x14ac:dyDescent="0.25">
      <c r="A3" s="1">
        <f>tsla!A3</f>
        <v>45293</v>
      </c>
      <c r="B3" s="2">
        <f>tsla!B3</f>
        <v>102</v>
      </c>
      <c r="C3" s="2">
        <f>tsla!C3</f>
        <v>103</v>
      </c>
      <c r="D3" s="2">
        <f>tsla!D3</f>
        <v>101</v>
      </c>
      <c r="E3">
        <f>B2</f>
        <v>100</v>
      </c>
      <c r="F3" s="2">
        <f t="shared" ref="F3:F16" si="0">C3-D3</f>
        <v>2</v>
      </c>
      <c r="G3" s="2">
        <f>C3-E3</f>
        <v>3</v>
      </c>
      <c r="H3" s="2">
        <f>D3-E3</f>
        <v>1</v>
      </c>
      <c r="I3" s="2">
        <f t="shared" ref="I3:I16" si="1">MAX(F3:H3)</f>
        <v>3</v>
      </c>
    </row>
    <row r="4" spans="1:10" x14ac:dyDescent="0.25">
      <c r="A4" s="1">
        <f>tsla!A4</f>
        <v>45294</v>
      </c>
      <c r="B4" s="2">
        <f>tsla!B4</f>
        <v>101</v>
      </c>
      <c r="C4" s="2">
        <f>tsla!C4</f>
        <v>102</v>
      </c>
      <c r="D4" s="2">
        <f>tsla!D4</f>
        <v>100</v>
      </c>
      <c r="E4">
        <f t="shared" ref="E4:E16" si="2">B3</f>
        <v>102</v>
      </c>
      <c r="F4" s="2">
        <f t="shared" si="0"/>
        <v>2</v>
      </c>
      <c r="G4" s="2">
        <f t="shared" ref="G4:G16" si="3">C4-E4</f>
        <v>0</v>
      </c>
      <c r="H4" s="2">
        <f t="shared" ref="H4:H16" si="4">D4-E4</f>
        <v>-2</v>
      </c>
      <c r="I4" s="2">
        <f t="shared" si="1"/>
        <v>2</v>
      </c>
    </row>
    <row r="5" spans="1:10" x14ac:dyDescent="0.25">
      <c r="A5" s="1">
        <f>tsla!A5</f>
        <v>45295</v>
      </c>
      <c r="B5" s="2">
        <f>tsla!B5</f>
        <v>103</v>
      </c>
      <c r="C5" s="2">
        <f>tsla!C5</f>
        <v>104</v>
      </c>
      <c r="D5" s="2">
        <f>tsla!D5</f>
        <v>102</v>
      </c>
      <c r="E5">
        <f t="shared" si="2"/>
        <v>101</v>
      </c>
      <c r="F5" s="2">
        <f t="shared" si="0"/>
        <v>2</v>
      </c>
      <c r="G5" s="2">
        <f t="shared" si="3"/>
        <v>3</v>
      </c>
      <c r="H5" s="2">
        <f t="shared" si="4"/>
        <v>1</v>
      </c>
      <c r="I5" s="2">
        <f t="shared" si="1"/>
        <v>3</v>
      </c>
    </row>
    <row r="6" spans="1:10" x14ac:dyDescent="0.25">
      <c r="A6" s="1">
        <f>tsla!A6</f>
        <v>45296</v>
      </c>
      <c r="B6" s="2">
        <f>tsla!B6</f>
        <v>102</v>
      </c>
      <c r="C6" s="2">
        <f>tsla!C6</f>
        <v>103</v>
      </c>
      <c r="D6" s="2">
        <f>tsla!D6</f>
        <v>101</v>
      </c>
      <c r="E6">
        <f t="shared" si="2"/>
        <v>103</v>
      </c>
      <c r="F6" s="2">
        <f t="shared" si="0"/>
        <v>2</v>
      </c>
      <c r="G6" s="2">
        <f t="shared" si="3"/>
        <v>0</v>
      </c>
      <c r="H6" s="2">
        <f t="shared" si="4"/>
        <v>-2</v>
      </c>
      <c r="I6" s="2">
        <f t="shared" si="1"/>
        <v>2</v>
      </c>
      <c r="J6" s="2">
        <f>AVERAGE(I2:I6)</f>
        <v>2.4</v>
      </c>
    </row>
    <row r="7" spans="1:10" x14ac:dyDescent="0.25">
      <c r="A7" s="1">
        <f>tsla!A7</f>
        <v>45297</v>
      </c>
      <c r="B7" s="2">
        <f>tsla!B7</f>
        <v>104</v>
      </c>
      <c r="C7" s="2">
        <f>tsla!C7</f>
        <v>105</v>
      </c>
      <c r="D7" s="2">
        <f>tsla!D7</f>
        <v>103</v>
      </c>
      <c r="E7">
        <f t="shared" si="2"/>
        <v>102</v>
      </c>
      <c r="F7" s="2">
        <f t="shared" si="0"/>
        <v>2</v>
      </c>
      <c r="G7" s="2">
        <f t="shared" si="3"/>
        <v>3</v>
      </c>
      <c r="H7" s="2">
        <f t="shared" si="4"/>
        <v>1</v>
      </c>
      <c r="I7" s="2">
        <f t="shared" si="1"/>
        <v>3</v>
      </c>
      <c r="J7" s="2">
        <f t="shared" ref="J7:J16" si="5">AVERAGE(I3:I7)</f>
        <v>2.6</v>
      </c>
    </row>
    <row r="8" spans="1:10" x14ac:dyDescent="0.25">
      <c r="A8" s="1">
        <f>tsla!A8</f>
        <v>45298</v>
      </c>
      <c r="B8" s="2">
        <f>tsla!B8</f>
        <v>106</v>
      </c>
      <c r="C8" s="2">
        <f>tsla!C8</f>
        <v>107</v>
      </c>
      <c r="D8" s="2">
        <f>tsla!D8</f>
        <v>105</v>
      </c>
      <c r="E8">
        <f t="shared" si="2"/>
        <v>104</v>
      </c>
      <c r="F8" s="2">
        <f t="shared" si="0"/>
        <v>2</v>
      </c>
      <c r="G8" s="2">
        <f t="shared" si="3"/>
        <v>3</v>
      </c>
      <c r="H8" s="2">
        <f t="shared" si="4"/>
        <v>1</v>
      </c>
      <c r="I8" s="2">
        <f t="shared" si="1"/>
        <v>3</v>
      </c>
      <c r="J8" s="2">
        <f t="shared" si="5"/>
        <v>2.6</v>
      </c>
    </row>
    <row r="9" spans="1:10" x14ac:dyDescent="0.25">
      <c r="A9" s="1">
        <f>tsla!A9</f>
        <v>45299</v>
      </c>
      <c r="B9" s="2">
        <f>tsla!B9</f>
        <v>105</v>
      </c>
      <c r="C9" s="2">
        <f>tsla!C9</f>
        <v>106</v>
      </c>
      <c r="D9" s="2">
        <f>tsla!D9</f>
        <v>104</v>
      </c>
      <c r="E9">
        <f t="shared" si="2"/>
        <v>106</v>
      </c>
      <c r="F9" s="2">
        <f t="shared" si="0"/>
        <v>2</v>
      </c>
      <c r="G9" s="2">
        <f t="shared" si="3"/>
        <v>0</v>
      </c>
      <c r="H9" s="2">
        <f t="shared" si="4"/>
        <v>-2</v>
      </c>
      <c r="I9" s="2">
        <f t="shared" si="1"/>
        <v>2</v>
      </c>
      <c r="J9" s="2">
        <f t="shared" si="5"/>
        <v>2.6</v>
      </c>
    </row>
    <row r="10" spans="1:10" x14ac:dyDescent="0.25">
      <c r="A10" s="1">
        <f>tsla!A10</f>
        <v>45300</v>
      </c>
      <c r="B10" s="2">
        <f>tsla!B10</f>
        <v>107</v>
      </c>
      <c r="C10" s="2">
        <f>tsla!C10</f>
        <v>108</v>
      </c>
      <c r="D10" s="2">
        <f>tsla!D10</f>
        <v>106</v>
      </c>
      <c r="E10">
        <f t="shared" si="2"/>
        <v>105</v>
      </c>
      <c r="F10" s="2">
        <f t="shared" si="0"/>
        <v>2</v>
      </c>
      <c r="G10" s="2">
        <f t="shared" si="3"/>
        <v>3</v>
      </c>
      <c r="H10" s="2">
        <f t="shared" si="4"/>
        <v>1</v>
      </c>
      <c r="I10" s="2">
        <f t="shared" si="1"/>
        <v>3</v>
      </c>
      <c r="J10" s="2">
        <f t="shared" si="5"/>
        <v>2.6</v>
      </c>
    </row>
    <row r="11" spans="1:10" x14ac:dyDescent="0.25">
      <c r="A11" s="1">
        <f>tsla!A11</f>
        <v>45301</v>
      </c>
      <c r="B11" s="2">
        <f>tsla!B11</f>
        <v>108</v>
      </c>
      <c r="C11" s="2">
        <f>tsla!C11</f>
        <v>109</v>
      </c>
      <c r="D11" s="2">
        <f>tsla!D11</f>
        <v>107</v>
      </c>
      <c r="E11">
        <f t="shared" si="2"/>
        <v>107</v>
      </c>
      <c r="F11" s="2">
        <f t="shared" si="0"/>
        <v>2</v>
      </c>
      <c r="G11" s="2">
        <f t="shared" si="3"/>
        <v>2</v>
      </c>
      <c r="H11" s="2">
        <f t="shared" si="4"/>
        <v>0</v>
      </c>
      <c r="I11" s="2">
        <f t="shared" si="1"/>
        <v>2</v>
      </c>
      <c r="J11" s="2">
        <f t="shared" si="5"/>
        <v>2.6</v>
      </c>
    </row>
    <row r="12" spans="1:10" x14ac:dyDescent="0.25">
      <c r="A12" s="1">
        <f>tsla!A12</f>
        <v>45302</v>
      </c>
      <c r="B12" s="2">
        <f>tsla!B12</f>
        <v>110</v>
      </c>
      <c r="C12" s="2">
        <f>tsla!C12</f>
        <v>111</v>
      </c>
      <c r="D12" s="2">
        <f>tsla!D12</f>
        <v>109</v>
      </c>
      <c r="E12">
        <f t="shared" si="2"/>
        <v>108</v>
      </c>
      <c r="F12" s="2">
        <f t="shared" si="0"/>
        <v>2</v>
      </c>
      <c r="G12" s="2">
        <f t="shared" si="3"/>
        <v>3</v>
      </c>
      <c r="H12" s="2">
        <f t="shared" si="4"/>
        <v>1</v>
      </c>
      <c r="I12" s="2">
        <f t="shared" si="1"/>
        <v>3</v>
      </c>
      <c r="J12" s="2">
        <f t="shared" si="5"/>
        <v>2.6</v>
      </c>
    </row>
    <row r="13" spans="1:10" x14ac:dyDescent="0.25">
      <c r="A13" s="1">
        <f>tsla!A13</f>
        <v>45303</v>
      </c>
      <c r="B13" s="2">
        <f>tsla!B13</f>
        <v>109</v>
      </c>
      <c r="C13" s="2">
        <f>tsla!C13</f>
        <v>110</v>
      </c>
      <c r="D13" s="2">
        <f>tsla!D13</f>
        <v>108</v>
      </c>
      <c r="E13">
        <f t="shared" si="2"/>
        <v>110</v>
      </c>
      <c r="F13" s="2">
        <f t="shared" si="0"/>
        <v>2</v>
      </c>
      <c r="G13" s="2">
        <f t="shared" si="3"/>
        <v>0</v>
      </c>
      <c r="H13" s="2">
        <f t="shared" si="4"/>
        <v>-2</v>
      </c>
      <c r="I13" s="2">
        <f t="shared" si="1"/>
        <v>2</v>
      </c>
      <c r="J13" s="2">
        <f t="shared" si="5"/>
        <v>2.4</v>
      </c>
    </row>
    <row r="14" spans="1:10" x14ac:dyDescent="0.25">
      <c r="A14" s="1">
        <f>tsla!A14</f>
        <v>45304</v>
      </c>
      <c r="B14" s="2">
        <f>tsla!B14</f>
        <v>111</v>
      </c>
      <c r="C14" s="2">
        <f>tsla!C14</f>
        <v>112</v>
      </c>
      <c r="D14" s="2">
        <f>tsla!D14</f>
        <v>110</v>
      </c>
      <c r="E14">
        <f t="shared" si="2"/>
        <v>109</v>
      </c>
      <c r="F14" s="2">
        <f t="shared" si="0"/>
        <v>2</v>
      </c>
      <c r="G14" s="2">
        <f t="shared" si="3"/>
        <v>3</v>
      </c>
      <c r="H14" s="2">
        <f t="shared" si="4"/>
        <v>1</v>
      </c>
      <c r="I14" s="2">
        <f t="shared" si="1"/>
        <v>3</v>
      </c>
      <c r="J14" s="2">
        <f t="shared" si="5"/>
        <v>2.6</v>
      </c>
    </row>
    <row r="15" spans="1:10" x14ac:dyDescent="0.25">
      <c r="A15" s="1">
        <f>tsla!A15</f>
        <v>45305</v>
      </c>
      <c r="B15" s="2">
        <f>tsla!B15</f>
        <v>112</v>
      </c>
      <c r="C15" s="2">
        <f>tsla!C15</f>
        <v>113</v>
      </c>
      <c r="D15" s="2">
        <f>tsla!D15</f>
        <v>111</v>
      </c>
      <c r="E15">
        <f t="shared" si="2"/>
        <v>111</v>
      </c>
      <c r="F15" s="2">
        <f t="shared" si="0"/>
        <v>2</v>
      </c>
      <c r="G15" s="2">
        <f t="shared" si="3"/>
        <v>2</v>
      </c>
      <c r="H15" s="2">
        <f t="shared" si="4"/>
        <v>0</v>
      </c>
      <c r="I15" s="2">
        <f t="shared" si="1"/>
        <v>2</v>
      </c>
      <c r="J15" s="2">
        <f t="shared" si="5"/>
        <v>2.4</v>
      </c>
    </row>
    <row r="16" spans="1:10" x14ac:dyDescent="0.25">
      <c r="A16" s="1">
        <f>tsla!A16</f>
        <v>45306</v>
      </c>
      <c r="B16" s="2">
        <f>tsla!B16</f>
        <v>113</v>
      </c>
      <c r="C16" s="2">
        <f>tsla!C16</f>
        <v>114</v>
      </c>
      <c r="D16" s="2">
        <f>tsla!D16</f>
        <v>112</v>
      </c>
      <c r="E16">
        <f t="shared" si="2"/>
        <v>112</v>
      </c>
      <c r="F16" s="2">
        <f t="shared" si="0"/>
        <v>2</v>
      </c>
      <c r="G16" s="2">
        <f t="shared" si="3"/>
        <v>2</v>
      </c>
      <c r="H16" s="2">
        <f t="shared" si="4"/>
        <v>0</v>
      </c>
      <c r="I16" s="2">
        <f t="shared" si="1"/>
        <v>2</v>
      </c>
      <c r="J16" s="2">
        <f t="shared" si="5"/>
        <v>2.4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FD85-9C9D-470B-9ECE-44AF4F44AC74}">
  <dimension ref="A1:C16"/>
  <sheetViews>
    <sheetView zoomScale="130" zoomScaleNormal="130" workbookViewId="0">
      <selection activeCell="C1" sqref="C1"/>
    </sheetView>
  </sheetViews>
  <sheetFormatPr defaultRowHeight="15" x14ac:dyDescent="0.25"/>
  <cols>
    <col min="1" max="1" width="10.85546875" customWidth="1"/>
    <col min="3" max="3" width="11.28515625" style="10" customWidth="1"/>
  </cols>
  <sheetData>
    <row r="1" spans="1:3" x14ac:dyDescent="0.25">
      <c r="B1" s="2" t="s">
        <v>0</v>
      </c>
      <c r="C1" s="10" t="s">
        <v>68</v>
      </c>
    </row>
    <row r="2" spans="1:3" x14ac:dyDescent="0.25">
      <c r="A2" s="1">
        <f>tsla!A2</f>
        <v>45292</v>
      </c>
      <c r="B2" s="2">
        <f>tsla!B2</f>
        <v>100</v>
      </c>
    </row>
    <row r="3" spans="1:3" x14ac:dyDescent="0.25">
      <c r="A3" s="1">
        <f>tsla!A3</f>
        <v>45293</v>
      </c>
      <c r="B3" s="2">
        <f>tsla!B3</f>
        <v>102</v>
      </c>
    </row>
    <row r="4" spans="1:3" x14ac:dyDescent="0.25">
      <c r="A4" s="1">
        <f>tsla!A4</f>
        <v>45294</v>
      </c>
      <c r="B4" s="2">
        <f>tsla!B4</f>
        <v>101</v>
      </c>
    </row>
    <row r="5" spans="1:3" x14ac:dyDescent="0.25">
      <c r="A5" s="1">
        <f>tsla!A5</f>
        <v>45295</v>
      </c>
      <c r="B5" s="2">
        <f>tsla!B5</f>
        <v>103</v>
      </c>
    </row>
    <row r="6" spans="1:3" x14ac:dyDescent="0.25">
      <c r="A6" s="1">
        <f>tsla!A6</f>
        <v>45296</v>
      </c>
      <c r="B6" s="2">
        <f>tsla!B6</f>
        <v>102</v>
      </c>
      <c r="C6" s="10">
        <f>STDEV(B2:B6)</f>
        <v>1.1401754250991381</v>
      </c>
    </row>
    <row r="7" spans="1:3" x14ac:dyDescent="0.25">
      <c r="A7" s="1">
        <f>tsla!A7</f>
        <v>45297</v>
      </c>
      <c r="B7" s="2">
        <f>tsla!B7</f>
        <v>104</v>
      </c>
      <c r="C7" s="10">
        <f t="shared" ref="C7:C16" si="0">STDEV(B3:B7)</f>
        <v>1.1401754250991381</v>
      </c>
    </row>
    <row r="8" spans="1:3" x14ac:dyDescent="0.25">
      <c r="A8" s="1">
        <f>tsla!A8</f>
        <v>45298</v>
      </c>
      <c r="B8" s="2">
        <f>tsla!B8</f>
        <v>106</v>
      </c>
      <c r="C8" s="10">
        <f t="shared" si="0"/>
        <v>1.9235384061671343</v>
      </c>
    </row>
    <row r="9" spans="1:3" x14ac:dyDescent="0.25">
      <c r="A9" s="1">
        <f>tsla!A9</f>
        <v>45299</v>
      </c>
      <c r="B9" s="2">
        <f>tsla!B9</f>
        <v>105</v>
      </c>
      <c r="C9" s="10">
        <f t="shared" si="0"/>
        <v>1.5811388300841898</v>
      </c>
    </row>
    <row r="10" spans="1:3" x14ac:dyDescent="0.25">
      <c r="A10" s="1">
        <f>tsla!A10</f>
        <v>45300</v>
      </c>
      <c r="B10" s="2">
        <f>tsla!B10</f>
        <v>107</v>
      </c>
      <c r="C10" s="10">
        <f t="shared" si="0"/>
        <v>1.9235384061671343</v>
      </c>
    </row>
    <row r="11" spans="1:3" x14ac:dyDescent="0.25">
      <c r="A11" s="1">
        <f>tsla!A11</f>
        <v>45301</v>
      </c>
      <c r="B11" s="2">
        <f>tsla!B11</f>
        <v>108</v>
      </c>
      <c r="C11" s="10">
        <f t="shared" si="0"/>
        <v>1.5811388300841898</v>
      </c>
    </row>
    <row r="12" spans="1:3" x14ac:dyDescent="0.25">
      <c r="A12" s="1">
        <f>tsla!A12</f>
        <v>45302</v>
      </c>
      <c r="B12" s="2">
        <f>tsla!B12</f>
        <v>110</v>
      </c>
      <c r="C12" s="10">
        <f t="shared" si="0"/>
        <v>1.9235384061671343</v>
      </c>
    </row>
    <row r="13" spans="1:3" x14ac:dyDescent="0.25">
      <c r="A13" s="1">
        <f>tsla!A13</f>
        <v>45303</v>
      </c>
      <c r="B13" s="2">
        <f>tsla!B13</f>
        <v>109</v>
      </c>
      <c r="C13" s="10">
        <f t="shared" si="0"/>
        <v>1.9235384061671343</v>
      </c>
    </row>
    <row r="14" spans="1:3" x14ac:dyDescent="0.25">
      <c r="A14" s="1">
        <f>tsla!A14</f>
        <v>45304</v>
      </c>
      <c r="B14" s="2">
        <f>tsla!B14</f>
        <v>111</v>
      </c>
      <c r="C14" s="10">
        <f>STDEV(B10:B14)</f>
        <v>1.5811388300841898</v>
      </c>
    </row>
    <row r="15" spans="1:3" x14ac:dyDescent="0.25">
      <c r="A15" s="1">
        <f>tsla!A15</f>
        <v>45305</v>
      </c>
      <c r="B15" s="2">
        <f>tsla!B15</f>
        <v>112</v>
      </c>
      <c r="C15" s="10">
        <f t="shared" si="0"/>
        <v>1.5811388300841898</v>
      </c>
    </row>
    <row r="16" spans="1:3" x14ac:dyDescent="0.25">
      <c r="A16" s="1">
        <f>tsla!A16</f>
        <v>45306</v>
      </c>
      <c r="B16" s="2">
        <f>tsla!B16</f>
        <v>113</v>
      </c>
      <c r="C16" s="10">
        <f t="shared" si="0"/>
        <v>1.5811388300841898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756A-EBCE-4F74-9792-135E693CB86E}">
  <dimension ref="A1:D11"/>
  <sheetViews>
    <sheetView zoomScale="145" zoomScaleNormal="145" workbookViewId="0">
      <selection sqref="A1:C11"/>
    </sheetView>
  </sheetViews>
  <sheetFormatPr defaultRowHeight="15" x14ac:dyDescent="0.25"/>
  <cols>
    <col min="1" max="1" width="13.140625" customWidth="1"/>
    <col min="4" max="4" width="9.140625" style="2"/>
  </cols>
  <sheetData>
    <row r="1" spans="1:4" x14ac:dyDescent="0.25">
      <c r="B1" s="2" t="s">
        <v>0</v>
      </c>
      <c r="C1" s="2" t="str">
        <f>aapl!E1</f>
        <v>volume</v>
      </c>
      <c r="D1" s="2" t="s">
        <v>70</v>
      </c>
    </row>
    <row r="2" spans="1:4" x14ac:dyDescent="0.25">
      <c r="A2" s="1">
        <f>aapl!A2</f>
        <v>45292</v>
      </c>
      <c r="B2" s="2">
        <f>aapl!B2</f>
        <v>100</v>
      </c>
      <c r="C2" s="2">
        <f>aapl!E2</f>
        <v>1000</v>
      </c>
    </row>
    <row r="3" spans="1:4" x14ac:dyDescent="0.25">
      <c r="A3" s="1">
        <f>A2+1</f>
        <v>45293</v>
      </c>
      <c r="B3" s="2">
        <f>aapl!B3</f>
        <v>101</v>
      </c>
      <c r="C3" s="2">
        <f>aapl!E3</f>
        <v>1010</v>
      </c>
    </row>
    <row r="4" spans="1:4" x14ac:dyDescent="0.25">
      <c r="A4" s="1">
        <f t="shared" ref="A4:A11" si="0">A3+1</f>
        <v>45294</v>
      </c>
      <c r="B4" s="2">
        <f>aapl!B4</f>
        <v>102</v>
      </c>
      <c r="C4" s="2">
        <f>aapl!E4</f>
        <v>1020</v>
      </c>
    </row>
    <row r="5" spans="1:4" x14ac:dyDescent="0.25">
      <c r="A5" s="1">
        <f t="shared" si="0"/>
        <v>45295</v>
      </c>
      <c r="B5" s="2">
        <f>aapl!B5</f>
        <v>103</v>
      </c>
      <c r="C5" s="2">
        <f>aapl!E5</f>
        <v>1030</v>
      </c>
    </row>
    <row r="6" spans="1:4" x14ac:dyDescent="0.25">
      <c r="A6" s="1">
        <f t="shared" si="0"/>
        <v>45296</v>
      </c>
      <c r="B6" s="2">
        <f>aapl!B6</f>
        <v>104</v>
      </c>
      <c r="C6" s="2">
        <f>aapl!E6</f>
        <v>1040</v>
      </c>
      <c r="D6" s="2">
        <f>AVERAGE(C2:C6)</f>
        <v>1020</v>
      </c>
    </row>
    <row r="7" spans="1:4" x14ac:dyDescent="0.25">
      <c r="A7" s="1">
        <f t="shared" si="0"/>
        <v>45297</v>
      </c>
      <c r="B7" s="2">
        <f>aapl!B7</f>
        <v>105</v>
      </c>
      <c r="C7" s="2">
        <f>aapl!E7</f>
        <v>1050</v>
      </c>
      <c r="D7" s="2">
        <f t="shared" ref="D7:D11" si="1">AVERAGE(C3:C7)</f>
        <v>1030</v>
      </c>
    </row>
    <row r="8" spans="1:4" x14ac:dyDescent="0.25">
      <c r="A8" s="1">
        <f t="shared" si="0"/>
        <v>45298</v>
      </c>
      <c r="B8" s="2">
        <f>aapl!B8</f>
        <v>106</v>
      </c>
      <c r="C8" s="2">
        <f>aapl!E8</f>
        <v>1060</v>
      </c>
      <c r="D8" s="2">
        <f t="shared" si="1"/>
        <v>1040</v>
      </c>
    </row>
    <row r="9" spans="1:4" x14ac:dyDescent="0.25">
      <c r="A9" s="1">
        <f t="shared" si="0"/>
        <v>45299</v>
      </c>
      <c r="B9" s="2">
        <f>aapl!B9</f>
        <v>107</v>
      </c>
      <c r="C9" s="2">
        <f>aapl!E9</f>
        <v>1070</v>
      </c>
      <c r="D9" s="2">
        <f t="shared" si="1"/>
        <v>1050</v>
      </c>
    </row>
    <row r="10" spans="1:4" x14ac:dyDescent="0.25">
      <c r="A10" s="1">
        <f t="shared" si="0"/>
        <v>45300</v>
      </c>
      <c r="B10" s="2">
        <f>aapl!B10</f>
        <v>108</v>
      </c>
      <c r="C10" s="2">
        <f>aapl!E10</f>
        <v>1080</v>
      </c>
      <c r="D10" s="2">
        <f t="shared" si="1"/>
        <v>1060</v>
      </c>
    </row>
    <row r="11" spans="1:4" x14ac:dyDescent="0.25">
      <c r="A11" s="1">
        <f t="shared" si="0"/>
        <v>45301</v>
      </c>
      <c r="B11" s="2">
        <f>aapl!B11</f>
        <v>109</v>
      </c>
      <c r="C11" s="2">
        <f>aapl!E11</f>
        <v>1090</v>
      </c>
      <c r="D11" s="2">
        <f t="shared" si="1"/>
        <v>1070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6F02-640F-4643-877C-D07F76E1EC5E}">
  <dimension ref="A1:D14"/>
  <sheetViews>
    <sheetView zoomScale="145" zoomScaleNormal="145" workbookViewId="0">
      <selection activeCell="D14" sqref="D14"/>
    </sheetView>
  </sheetViews>
  <sheetFormatPr defaultRowHeight="15" x14ac:dyDescent="0.25"/>
  <cols>
    <col min="1" max="1" width="12.140625" customWidth="1"/>
    <col min="4" max="4" width="13.5703125" style="2" customWidth="1"/>
  </cols>
  <sheetData>
    <row r="1" spans="1:4" x14ac:dyDescent="0.25">
      <c r="B1" s="2" t="s">
        <v>0</v>
      </c>
      <c r="C1" s="2" t="str">
        <f>aapl!E1</f>
        <v>volume</v>
      </c>
      <c r="D1" s="2" t="s">
        <v>71</v>
      </c>
    </row>
    <row r="2" spans="1:4" x14ac:dyDescent="0.25">
      <c r="A2" s="1">
        <f>aapl!A2</f>
        <v>45292</v>
      </c>
      <c r="B2" s="2">
        <f>aapl!B2</f>
        <v>100</v>
      </c>
      <c r="C2" s="2">
        <f>aapl!E2</f>
        <v>1000</v>
      </c>
      <c r="D2" s="10">
        <f>C2</f>
        <v>1000</v>
      </c>
    </row>
    <row r="3" spans="1:4" x14ac:dyDescent="0.25">
      <c r="A3" s="1">
        <f>A2+1</f>
        <v>45293</v>
      </c>
      <c r="B3" s="2">
        <f>aapl!B3</f>
        <v>101</v>
      </c>
      <c r="C3" s="2">
        <f>aapl!E3</f>
        <v>1010</v>
      </c>
      <c r="D3" s="10">
        <f>C3*$D$14+D2*(1-$D$14)</f>
        <v>1003.3333333333334</v>
      </c>
    </row>
    <row r="4" spans="1:4" x14ac:dyDescent="0.25">
      <c r="A4" s="1">
        <f t="shared" ref="A4:A11" si="0">A3+1</f>
        <v>45294</v>
      </c>
      <c r="B4" s="2">
        <f>aapl!B4</f>
        <v>102</v>
      </c>
      <c r="C4" s="2">
        <f>aapl!E4</f>
        <v>1020</v>
      </c>
      <c r="D4" s="10">
        <f t="shared" ref="D4:D11" si="1">C4*$D$14+D3*(1-$D$14)</f>
        <v>1008.888888888889</v>
      </c>
    </row>
    <row r="5" spans="1:4" x14ac:dyDescent="0.25">
      <c r="A5" s="1">
        <f t="shared" si="0"/>
        <v>45295</v>
      </c>
      <c r="B5" s="2">
        <f>aapl!B5</f>
        <v>103</v>
      </c>
      <c r="C5" s="2">
        <f>aapl!E5</f>
        <v>1030</v>
      </c>
      <c r="D5" s="10">
        <f t="shared" si="1"/>
        <v>1015.9259259259261</v>
      </c>
    </row>
    <row r="6" spans="1:4" x14ac:dyDescent="0.25">
      <c r="A6" s="1">
        <f t="shared" si="0"/>
        <v>45296</v>
      </c>
      <c r="B6" s="2">
        <f>aapl!B6</f>
        <v>104</v>
      </c>
      <c r="C6" s="2">
        <f>aapl!E6</f>
        <v>1040</v>
      </c>
      <c r="D6" s="10">
        <f t="shared" si="1"/>
        <v>1023.9506172839508</v>
      </c>
    </row>
    <row r="7" spans="1:4" x14ac:dyDescent="0.25">
      <c r="A7" s="1">
        <f t="shared" si="0"/>
        <v>45297</v>
      </c>
      <c r="B7" s="2">
        <f>aapl!B7</f>
        <v>105</v>
      </c>
      <c r="C7" s="2">
        <f>aapl!E7</f>
        <v>1050</v>
      </c>
      <c r="D7" s="10">
        <f t="shared" si="1"/>
        <v>1032.6337448559673</v>
      </c>
    </row>
    <row r="8" spans="1:4" x14ac:dyDescent="0.25">
      <c r="A8" s="1">
        <f t="shared" si="0"/>
        <v>45298</v>
      </c>
      <c r="B8" s="2">
        <f>aapl!B8</f>
        <v>106</v>
      </c>
      <c r="C8" s="2">
        <f>aapl!E8</f>
        <v>1060</v>
      </c>
      <c r="D8" s="10">
        <f t="shared" si="1"/>
        <v>1041.7558299039783</v>
      </c>
    </row>
    <row r="9" spans="1:4" x14ac:dyDescent="0.25">
      <c r="A9" s="1">
        <f t="shared" si="0"/>
        <v>45299</v>
      </c>
      <c r="B9" s="2">
        <f>aapl!B9</f>
        <v>107</v>
      </c>
      <c r="C9" s="2">
        <f>aapl!E9</f>
        <v>1070</v>
      </c>
      <c r="D9" s="10">
        <f t="shared" si="1"/>
        <v>1051.170553269319</v>
      </c>
    </row>
    <row r="10" spans="1:4" x14ac:dyDescent="0.25">
      <c r="A10" s="1">
        <f t="shared" si="0"/>
        <v>45300</v>
      </c>
      <c r="B10" s="2">
        <f>aapl!B10</f>
        <v>108</v>
      </c>
      <c r="C10" s="2">
        <f>aapl!E10</f>
        <v>1080</v>
      </c>
      <c r="D10" s="10">
        <f t="shared" si="1"/>
        <v>1060.7803688462127</v>
      </c>
    </row>
    <row r="11" spans="1:4" x14ac:dyDescent="0.25">
      <c r="A11" s="1">
        <f t="shared" si="0"/>
        <v>45301</v>
      </c>
      <c r="B11" s="2">
        <f>aapl!B11</f>
        <v>109</v>
      </c>
      <c r="C11" s="2">
        <f>aapl!E11</f>
        <v>1090</v>
      </c>
      <c r="D11" s="10">
        <f t="shared" si="1"/>
        <v>1070.5202458974752</v>
      </c>
    </row>
    <row r="13" spans="1:4" x14ac:dyDescent="0.25">
      <c r="A13" t="s">
        <v>5</v>
      </c>
      <c r="D13" s="2">
        <v>5</v>
      </c>
    </row>
    <row r="14" spans="1:4" x14ac:dyDescent="0.25">
      <c r="A14" t="s">
        <v>4</v>
      </c>
      <c r="D14" s="2">
        <f>2/(D13+1)</f>
        <v>0.33333333333333331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D891-5BA3-49D7-AF5C-CD6C32FD6762}">
  <dimension ref="A1:F16"/>
  <sheetViews>
    <sheetView zoomScale="130" zoomScaleNormal="130" workbookViewId="0">
      <selection sqref="A1:C16"/>
    </sheetView>
  </sheetViews>
  <sheetFormatPr defaultRowHeight="15" x14ac:dyDescent="0.25"/>
  <cols>
    <col min="1" max="1" width="12.85546875" customWidth="1"/>
    <col min="4" max="4" width="11" style="2" bestFit="1" customWidth="1"/>
    <col min="5" max="5" width="19.42578125" bestFit="1" customWidth="1"/>
    <col min="6" max="6" width="14.5703125" style="10" customWidth="1"/>
  </cols>
  <sheetData>
    <row r="1" spans="1:6" x14ac:dyDescent="0.25">
      <c r="B1" s="2" t="str">
        <f>tsla!B1</f>
        <v>close</v>
      </c>
      <c r="C1" s="2" t="str">
        <f>tsla!E1</f>
        <v>volume</v>
      </c>
      <c r="D1" s="2" t="s">
        <v>72</v>
      </c>
      <c r="E1" t="s">
        <v>73</v>
      </c>
      <c r="F1" s="10" t="s">
        <v>74</v>
      </c>
    </row>
    <row r="2" spans="1:6" x14ac:dyDescent="0.25">
      <c r="A2" s="1">
        <f>tsla!A2</f>
        <v>45292</v>
      </c>
      <c r="B2" s="2">
        <f>tsla!B2</f>
        <v>100</v>
      </c>
      <c r="C2" s="2">
        <f>tsla!E2</f>
        <v>1000</v>
      </c>
      <c r="E2" s="2">
        <v>0</v>
      </c>
      <c r="F2" s="10">
        <f>E2</f>
        <v>0</v>
      </c>
    </row>
    <row r="3" spans="1:6" x14ac:dyDescent="0.25">
      <c r="A3" s="1">
        <f>tsla!A3</f>
        <v>45293</v>
      </c>
      <c r="B3" s="2">
        <f>tsla!B3</f>
        <v>102</v>
      </c>
      <c r="C3" s="2">
        <f>tsla!E3</f>
        <v>950</v>
      </c>
      <c r="D3" s="2">
        <f>(B3/B2)-1</f>
        <v>2.0000000000000018E-2</v>
      </c>
      <c r="E3" s="2">
        <f>C3*D3</f>
        <v>19.000000000000018</v>
      </c>
      <c r="F3" s="10">
        <f>F2+E3</f>
        <v>19.000000000000018</v>
      </c>
    </row>
    <row r="4" spans="1:6" x14ac:dyDescent="0.25">
      <c r="A4" s="1">
        <f>tsla!A4</f>
        <v>45294</v>
      </c>
      <c r="B4" s="2">
        <f>tsla!B4</f>
        <v>101</v>
      </c>
      <c r="C4" s="2">
        <f>tsla!E4</f>
        <v>990</v>
      </c>
      <c r="D4" s="2">
        <f t="shared" ref="D4:D16" si="0">(B4/B3)-1</f>
        <v>-9.8039215686274161E-3</v>
      </c>
      <c r="E4" s="2">
        <f t="shared" ref="E4:E16" si="1">C4*D4</f>
        <v>-9.705882352941142</v>
      </c>
      <c r="F4" s="10">
        <f t="shared" ref="F4:F16" si="2">F3+E4</f>
        <v>9.2941176470588758</v>
      </c>
    </row>
    <row r="5" spans="1:6" x14ac:dyDescent="0.25">
      <c r="A5" s="1">
        <f>tsla!A5</f>
        <v>45295</v>
      </c>
      <c r="B5" s="2">
        <f>tsla!B5</f>
        <v>103</v>
      </c>
      <c r="C5" s="2">
        <f>tsla!E5</f>
        <v>1020</v>
      </c>
      <c r="D5" s="2">
        <f t="shared" si="0"/>
        <v>1.980198019801982E-2</v>
      </c>
      <c r="E5" s="2">
        <f t="shared" si="1"/>
        <v>20.198019801980216</v>
      </c>
      <c r="F5" s="10">
        <f t="shared" si="2"/>
        <v>29.492137449039092</v>
      </c>
    </row>
    <row r="6" spans="1:6" x14ac:dyDescent="0.25">
      <c r="A6" s="1">
        <f>tsla!A6</f>
        <v>45296</v>
      </c>
      <c r="B6" s="2">
        <f>tsla!B6</f>
        <v>102</v>
      </c>
      <c r="C6" s="2">
        <f>tsla!E6</f>
        <v>1100</v>
      </c>
      <c r="D6" s="2">
        <f t="shared" si="0"/>
        <v>-9.7087378640776656E-3</v>
      </c>
      <c r="E6" s="2">
        <f t="shared" si="1"/>
        <v>-10.679611650485432</v>
      </c>
      <c r="F6" s="10">
        <f t="shared" si="2"/>
        <v>18.812525798553658</v>
      </c>
    </row>
    <row r="7" spans="1:6" x14ac:dyDescent="0.25">
      <c r="A7" s="1">
        <f>tsla!A7</f>
        <v>45297</v>
      </c>
      <c r="B7" s="2">
        <f>tsla!B7</f>
        <v>104</v>
      </c>
      <c r="C7" s="2">
        <f>tsla!E7</f>
        <v>900</v>
      </c>
      <c r="D7" s="2">
        <f t="shared" si="0"/>
        <v>1.9607843137254832E-2</v>
      </c>
      <c r="E7" s="2">
        <f t="shared" si="1"/>
        <v>17.647058823529349</v>
      </c>
      <c r="F7" s="10">
        <f t="shared" si="2"/>
        <v>36.459584622083007</v>
      </c>
    </row>
    <row r="8" spans="1:6" x14ac:dyDescent="0.25">
      <c r="A8" s="1">
        <f>tsla!A8</f>
        <v>45298</v>
      </c>
      <c r="B8" s="2">
        <f>tsla!B8</f>
        <v>106</v>
      </c>
      <c r="C8" s="2">
        <f>tsla!E8</f>
        <v>980</v>
      </c>
      <c r="D8" s="2">
        <f t="shared" si="0"/>
        <v>1.9230769230769162E-2</v>
      </c>
      <c r="E8" s="2">
        <f t="shared" si="1"/>
        <v>18.846153846153779</v>
      </c>
      <c r="F8" s="10">
        <f t="shared" si="2"/>
        <v>55.305738468236783</v>
      </c>
    </row>
    <row r="9" spans="1:6" x14ac:dyDescent="0.25">
      <c r="A9" s="1">
        <f>tsla!A9</f>
        <v>45299</v>
      </c>
      <c r="B9" s="2">
        <f>tsla!B9</f>
        <v>105</v>
      </c>
      <c r="C9" s="2">
        <f>tsla!E9</f>
        <v>1030</v>
      </c>
      <c r="D9" s="2">
        <f t="shared" si="0"/>
        <v>-9.4339622641509413E-3</v>
      </c>
      <c r="E9" s="2">
        <f t="shared" si="1"/>
        <v>-9.7169811320754693</v>
      </c>
      <c r="F9" s="10">
        <f t="shared" si="2"/>
        <v>45.588757336161315</v>
      </c>
    </row>
    <row r="10" spans="1:6" x14ac:dyDescent="0.25">
      <c r="A10" s="1">
        <f>tsla!A10</f>
        <v>45300</v>
      </c>
      <c r="B10" s="2">
        <f>tsla!B10</f>
        <v>107</v>
      </c>
      <c r="C10" s="2">
        <f>tsla!E10</f>
        <v>1100</v>
      </c>
      <c r="D10" s="2">
        <f t="shared" si="0"/>
        <v>1.904761904761898E-2</v>
      </c>
      <c r="E10" s="2">
        <f t="shared" si="1"/>
        <v>20.952380952380878</v>
      </c>
      <c r="F10" s="10">
        <f t="shared" si="2"/>
        <v>66.541138288542186</v>
      </c>
    </row>
    <row r="11" spans="1:6" x14ac:dyDescent="0.25">
      <c r="A11" s="1">
        <f>tsla!A11</f>
        <v>45301</v>
      </c>
      <c r="B11" s="2">
        <f>tsla!B11</f>
        <v>108</v>
      </c>
      <c r="C11" s="2">
        <f>tsla!E11</f>
        <v>1080</v>
      </c>
      <c r="D11" s="2">
        <f t="shared" si="0"/>
        <v>9.3457943925232545E-3</v>
      </c>
      <c r="E11" s="2">
        <f t="shared" si="1"/>
        <v>10.093457943925115</v>
      </c>
      <c r="F11" s="10">
        <f t="shared" si="2"/>
        <v>76.634596232467302</v>
      </c>
    </row>
    <row r="12" spans="1:6" x14ac:dyDescent="0.25">
      <c r="A12" s="1">
        <f>tsla!A12</f>
        <v>45302</v>
      </c>
      <c r="B12" s="2">
        <f>tsla!B12</f>
        <v>110</v>
      </c>
      <c r="C12" s="2">
        <f>tsla!E12</f>
        <v>975</v>
      </c>
      <c r="D12" s="2">
        <f t="shared" si="0"/>
        <v>1.8518518518518601E-2</v>
      </c>
      <c r="E12" s="2">
        <f t="shared" si="1"/>
        <v>18.055555555555635</v>
      </c>
      <c r="F12" s="10">
        <f t="shared" si="2"/>
        <v>94.690151788022945</v>
      </c>
    </row>
    <row r="13" spans="1:6" x14ac:dyDescent="0.25">
      <c r="A13" s="1">
        <f>tsla!A13</f>
        <v>45303</v>
      </c>
      <c r="B13" s="2">
        <f>tsla!B13</f>
        <v>109</v>
      </c>
      <c r="C13" s="2">
        <f>tsla!E13</f>
        <v>1010</v>
      </c>
      <c r="D13" s="2">
        <f t="shared" si="0"/>
        <v>-9.0909090909090384E-3</v>
      </c>
      <c r="E13" s="2">
        <f t="shared" si="1"/>
        <v>-9.1818181818181284</v>
      </c>
      <c r="F13" s="10">
        <f t="shared" si="2"/>
        <v>85.508333606204815</v>
      </c>
    </row>
    <row r="14" spans="1:6" x14ac:dyDescent="0.25">
      <c r="A14" s="1">
        <f>tsla!A14</f>
        <v>45304</v>
      </c>
      <c r="B14" s="2">
        <f>tsla!B14</f>
        <v>111</v>
      </c>
      <c r="C14" s="2">
        <f>tsla!E14</f>
        <v>1110</v>
      </c>
      <c r="D14" s="2">
        <f t="shared" si="0"/>
        <v>1.8348623853210899E-2</v>
      </c>
      <c r="E14" s="2">
        <f t="shared" si="1"/>
        <v>20.366972477064099</v>
      </c>
      <c r="F14" s="10">
        <f t="shared" si="2"/>
        <v>105.87530608326891</v>
      </c>
    </row>
    <row r="15" spans="1:6" x14ac:dyDescent="0.25">
      <c r="A15" s="1">
        <f>tsla!A15</f>
        <v>45305</v>
      </c>
      <c r="B15" s="2">
        <f>tsla!B15</f>
        <v>112</v>
      </c>
      <c r="C15" s="2">
        <f>tsla!E15</f>
        <v>1050</v>
      </c>
      <c r="D15" s="2">
        <f t="shared" si="0"/>
        <v>9.009009009008917E-3</v>
      </c>
      <c r="E15" s="2">
        <f t="shared" si="1"/>
        <v>9.4594594594593637</v>
      </c>
      <c r="F15" s="10">
        <f t="shared" si="2"/>
        <v>115.33476554272828</v>
      </c>
    </row>
    <row r="16" spans="1:6" x14ac:dyDescent="0.25">
      <c r="A16" s="1">
        <f>tsla!A16</f>
        <v>45306</v>
      </c>
      <c r="B16" s="2">
        <f>tsla!B16</f>
        <v>113</v>
      </c>
      <c r="C16" s="2">
        <f>tsla!E16</f>
        <v>1130</v>
      </c>
      <c r="D16" s="2">
        <f t="shared" si="0"/>
        <v>8.9285714285713969E-3</v>
      </c>
      <c r="E16" s="2">
        <f t="shared" si="1"/>
        <v>10.089285714285678</v>
      </c>
      <c r="F16" s="10">
        <f t="shared" si="2"/>
        <v>125.42405125701396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A423-BC1F-4220-9C46-ED84FC60A57E}">
  <dimension ref="A1:G16"/>
  <sheetViews>
    <sheetView zoomScale="145" zoomScaleNormal="145" workbookViewId="0">
      <selection activeCell="G1" sqref="G1"/>
    </sheetView>
  </sheetViews>
  <sheetFormatPr defaultRowHeight="15" x14ac:dyDescent="0.25"/>
  <cols>
    <col min="1" max="1" width="13.85546875" customWidth="1"/>
    <col min="4" max="5" width="9.140625" style="2"/>
    <col min="6" max="6" width="17.28515625" style="2" bestFit="1" customWidth="1"/>
    <col min="7" max="7" width="12.85546875" style="10" customWidth="1"/>
  </cols>
  <sheetData>
    <row r="1" spans="1:7" x14ac:dyDescent="0.25">
      <c r="B1" s="2" t="str">
        <f>tsla!B1</f>
        <v>close</v>
      </c>
      <c r="C1" s="2" t="str">
        <f>tsla!E1</f>
        <v>volume</v>
      </c>
      <c r="D1" s="2" t="s">
        <v>75</v>
      </c>
      <c r="E1" s="2" t="s">
        <v>76</v>
      </c>
      <c r="F1" s="2" t="s">
        <v>77</v>
      </c>
      <c r="G1" s="10" t="s">
        <v>78</v>
      </c>
    </row>
    <row r="2" spans="1:7" x14ac:dyDescent="0.25">
      <c r="A2" s="1">
        <f>tsla!A2</f>
        <v>45292</v>
      </c>
      <c r="B2" s="2">
        <f>tsla!B2</f>
        <v>100</v>
      </c>
      <c r="C2" s="2">
        <f>tsla!E2</f>
        <v>1000</v>
      </c>
      <c r="G2" s="10">
        <v>0</v>
      </c>
    </row>
    <row r="3" spans="1:7" x14ac:dyDescent="0.25">
      <c r="A3" s="1">
        <f>tsla!A3</f>
        <v>45293</v>
      </c>
      <c r="B3" s="2">
        <f>tsla!B3</f>
        <v>102</v>
      </c>
      <c r="C3" s="2">
        <f>tsla!E3</f>
        <v>950</v>
      </c>
      <c r="D3" s="2">
        <f>B3-B2</f>
        <v>2</v>
      </c>
      <c r="E3" s="2">
        <f>IF(D3&gt;0,1,IF(D3&lt;0, -1, 0))</f>
        <v>1</v>
      </c>
      <c r="F3" s="2">
        <f>C3*E3</f>
        <v>950</v>
      </c>
      <c r="G3" s="10">
        <f>F3+G2</f>
        <v>950</v>
      </c>
    </row>
    <row r="4" spans="1:7" x14ac:dyDescent="0.25">
      <c r="A4" s="1">
        <f>tsla!A4</f>
        <v>45294</v>
      </c>
      <c r="B4" s="2">
        <f>tsla!B4</f>
        <v>101</v>
      </c>
      <c r="C4" s="2">
        <f>tsla!E4</f>
        <v>990</v>
      </c>
      <c r="D4" s="2">
        <f t="shared" ref="D4:D16" si="0">B4-B3</f>
        <v>-1</v>
      </c>
      <c r="E4" s="2">
        <f t="shared" ref="E4:E16" si="1">IF(D4&gt;0,1,IF(D4&lt;0, -1, 0))</f>
        <v>-1</v>
      </c>
      <c r="F4" s="2">
        <f t="shared" ref="F4:F16" si="2">C4*E4</f>
        <v>-990</v>
      </c>
      <c r="G4" s="10">
        <f t="shared" ref="G4:G16" si="3">F4+G3</f>
        <v>-40</v>
      </c>
    </row>
    <row r="5" spans="1:7" x14ac:dyDescent="0.25">
      <c r="A5" s="1">
        <f>tsla!A5</f>
        <v>45295</v>
      </c>
      <c r="B5" s="2">
        <f>tsla!B5</f>
        <v>103</v>
      </c>
      <c r="C5" s="2">
        <f>tsla!E5</f>
        <v>1020</v>
      </c>
      <c r="D5" s="2">
        <f t="shared" si="0"/>
        <v>2</v>
      </c>
      <c r="E5" s="2">
        <f t="shared" si="1"/>
        <v>1</v>
      </c>
      <c r="F5" s="2">
        <f t="shared" si="2"/>
        <v>1020</v>
      </c>
      <c r="G5" s="10">
        <f t="shared" si="3"/>
        <v>980</v>
      </c>
    </row>
    <row r="6" spans="1:7" x14ac:dyDescent="0.25">
      <c r="A6" s="1">
        <f>tsla!A6</f>
        <v>45296</v>
      </c>
      <c r="B6" s="2">
        <f>tsla!B6</f>
        <v>102</v>
      </c>
      <c r="C6" s="2">
        <f>tsla!E6</f>
        <v>1100</v>
      </c>
      <c r="D6" s="2">
        <f t="shared" si="0"/>
        <v>-1</v>
      </c>
      <c r="E6" s="2">
        <f t="shared" si="1"/>
        <v>-1</v>
      </c>
      <c r="F6" s="2">
        <f t="shared" si="2"/>
        <v>-1100</v>
      </c>
      <c r="G6" s="10">
        <f t="shared" si="3"/>
        <v>-120</v>
      </c>
    </row>
    <row r="7" spans="1:7" x14ac:dyDescent="0.25">
      <c r="A7" s="1">
        <f>tsla!A7</f>
        <v>45297</v>
      </c>
      <c r="B7" s="2">
        <f>tsla!B7</f>
        <v>104</v>
      </c>
      <c r="C7" s="2">
        <f>tsla!E7</f>
        <v>900</v>
      </c>
      <c r="D7" s="2">
        <f t="shared" si="0"/>
        <v>2</v>
      </c>
      <c r="E7" s="2">
        <f t="shared" si="1"/>
        <v>1</v>
      </c>
      <c r="F7" s="2">
        <f t="shared" si="2"/>
        <v>900</v>
      </c>
      <c r="G7" s="10">
        <f t="shared" si="3"/>
        <v>780</v>
      </c>
    </row>
    <row r="8" spans="1:7" x14ac:dyDescent="0.25">
      <c r="A8" s="1">
        <f>tsla!A8</f>
        <v>45298</v>
      </c>
      <c r="B8" s="2">
        <f>tsla!B8</f>
        <v>106</v>
      </c>
      <c r="C8" s="2">
        <f>tsla!E8</f>
        <v>980</v>
      </c>
      <c r="D8" s="2">
        <f t="shared" si="0"/>
        <v>2</v>
      </c>
      <c r="E8" s="2">
        <f t="shared" si="1"/>
        <v>1</v>
      </c>
      <c r="F8" s="2">
        <f t="shared" si="2"/>
        <v>980</v>
      </c>
      <c r="G8" s="10">
        <f t="shared" si="3"/>
        <v>1760</v>
      </c>
    </row>
    <row r="9" spans="1:7" x14ac:dyDescent="0.25">
      <c r="A9" s="1">
        <f>tsla!A9</f>
        <v>45299</v>
      </c>
      <c r="B9" s="2">
        <f>tsla!B9</f>
        <v>105</v>
      </c>
      <c r="C9" s="2">
        <f>tsla!E9</f>
        <v>1030</v>
      </c>
      <c r="D9" s="2">
        <f t="shared" si="0"/>
        <v>-1</v>
      </c>
      <c r="E9" s="2">
        <f t="shared" si="1"/>
        <v>-1</v>
      </c>
      <c r="F9" s="2">
        <f t="shared" si="2"/>
        <v>-1030</v>
      </c>
      <c r="G9" s="10">
        <f t="shared" si="3"/>
        <v>730</v>
      </c>
    </row>
    <row r="10" spans="1:7" x14ac:dyDescent="0.25">
      <c r="A10" s="1">
        <f>tsla!A10</f>
        <v>45300</v>
      </c>
      <c r="B10" s="2">
        <f>tsla!B10</f>
        <v>107</v>
      </c>
      <c r="C10" s="2">
        <f>tsla!E10</f>
        <v>1100</v>
      </c>
      <c r="D10" s="2">
        <f t="shared" si="0"/>
        <v>2</v>
      </c>
      <c r="E10" s="2">
        <f t="shared" si="1"/>
        <v>1</v>
      </c>
      <c r="F10" s="2">
        <f t="shared" si="2"/>
        <v>1100</v>
      </c>
      <c r="G10" s="10">
        <f t="shared" si="3"/>
        <v>1830</v>
      </c>
    </row>
    <row r="11" spans="1:7" x14ac:dyDescent="0.25">
      <c r="A11" s="1">
        <f>tsla!A11</f>
        <v>45301</v>
      </c>
      <c r="B11" s="2">
        <f>tsla!B11</f>
        <v>108</v>
      </c>
      <c r="C11" s="2">
        <f>tsla!E11</f>
        <v>1080</v>
      </c>
      <c r="D11" s="2">
        <f t="shared" si="0"/>
        <v>1</v>
      </c>
      <c r="E11" s="2">
        <f t="shared" si="1"/>
        <v>1</v>
      </c>
      <c r="F11" s="2">
        <f t="shared" si="2"/>
        <v>1080</v>
      </c>
      <c r="G11" s="10">
        <f t="shared" si="3"/>
        <v>2910</v>
      </c>
    </row>
    <row r="12" spans="1:7" x14ac:dyDescent="0.25">
      <c r="A12" s="1">
        <f>tsla!A12</f>
        <v>45302</v>
      </c>
      <c r="B12" s="2">
        <f>tsla!B12</f>
        <v>110</v>
      </c>
      <c r="C12" s="2">
        <f>tsla!E12</f>
        <v>975</v>
      </c>
      <c r="D12" s="2">
        <f t="shared" si="0"/>
        <v>2</v>
      </c>
      <c r="E12" s="2">
        <f t="shared" si="1"/>
        <v>1</v>
      </c>
      <c r="F12" s="2">
        <f t="shared" si="2"/>
        <v>975</v>
      </c>
      <c r="G12" s="10">
        <f t="shared" si="3"/>
        <v>3885</v>
      </c>
    </row>
    <row r="13" spans="1:7" x14ac:dyDescent="0.25">
      <c r="A13" s="1">
        <f>tsla!A13</f>
        <v>45303</v>
      </c>
      <c r="B13" s="2">
        <f>tsla!B13</f>
        <v>109</v>
      </c>
      <c r="C13" s="2">
        <f>tsla!E13</f>
        <v>1010</v>
      </c>
      <c r="D13" s="2">
        <f t="shared" si="0"/>
        <v>-1</v>
      </c>
      <c r="E13" s="2">
        <f t="shared" si="1"/>
        <v>-1</v>
      </c>
      <c r="F13" s="2">
        <f t="shared" si="2"/>
        <v>-1010</v>
      </c>
      <c r="G13" s="10">
        <f t="shared" si="3"/>
        <v>2875</v>
      </c>
    </row>
    <row r="14" spans="1:7" x14ac:dyDescent="0.25">
      <c r="A14" s="1">
        <f>tsla!A14</f>
        <v>45304</v>
      </c>
      <c r="B14" s="2">
        <f>tsla!B14</f>
        <v>111</v>
      </c>
      <c r="C14" s="2">
        <f>tsla!E14</f>
        <v>1110</v>
      </c>
      <c r="D14" s="2">
        <f t="shared" si="0"/>
        <v>2</v>
      </c>
      <c r="E14" s="2">
        <f t="shared" si="1"/>
        <v>1</v>
      </c>
      <c r="F14" s="2">
        <f t="shared" si="2"/>
        <v>1110</v>
      </c>
      <c r="G14" s="10">
        <f t="shared" si="3"/>
        <v>3985</v>
      </c>
    </row>
    <row r="15" spans="1:7" x14ac:dyDescent="0.25">
      <c r="A15" s="1">
        <f>tsla!A15</f>
        <v>45305</v>
      </c>
      <c r="B15" s="2">
        <f>tsla!B15</f>
        <v>112</v>
      </c>
      <c r="C15" s="2">
        <f>tsla!E15</f>
        <v>1050</v>
      </c>
      <c r="D15" s="2">
        <f t="shared" si="0"/>
        <v>1</v>
      </c>
      <c r="E15" s="2">
        <f t="shared" si="1"/>
        <v>1</v>
      </c>
      <c r="F15" s="2">
        <f t="shared" si="2"/>
        <v>1050</v>
      </c>
      <c r="G15" s="10">
        <f t="shared" si="3"/>
        <v>5035</v>
      </c>
    </row>
    <row r="16" spans="1:7" x14ac:dyDescent="0.25">
      <c r="A16" s="1">
        <f>tsla!A16</f>
        <v>45306</v>
      </c>
      <c r="B16" s="2">
        <f>tsla!B16</f>
        <v>113</v>
      </c>
      <c r="C16" s="2">
        <f>tsla!E16</f>
        <v>1130</v>
      </c>
      <c r="D16" s="2">
        <f t="shared" si="0"/>
        <v>1</v>
      </c>
      <c r="E16" s="2">
        <f t="shared" si="1"/>
        <v>1</v>
      </c>
      <c r="F16" s="2">
        <f t="shared" si="2"/>
        <v>1130</v>
      </c>
      <c r="G16" s="10">
        <f t="shared" si="3"/>
        <v>6165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9B5B-4B1E-4182-9038-BEE150701619}">
  <dimension ref="A1:N16"/>
  <sheetViews>
    <sheetView tabSelected="1" zoomScale="130" zoomScaleNormal="130" workbookViewId="0">
      <selection activeCell="N16" sqref="N16"/>
    </sheetView>
  </sheetViews>
  <sheetFormatPr defaultRowHeight="15" x14ac:dyDescent="0.25"/>
  <cols>
    <col min="1" max="1" width="11.140625" customWidth="1"/>
    <col min="7" max="7" width="9.140625" style="2"/>
    <col min="8" max="9" width="11.7109375" style="2" customWidth="1"/>
    <col min="10" max="10" width="9.140625" style="2"/>
    <col min="11" max="11" width="13" style="2" customWidth="1"/>
    <col min="12" max="12" width="13.7109375" bestFit="1" customWidth="1"/>
    <col min="14" max="14" width="11.5703125" style="12" customWidth="1"/>
  </cols>
  <sheetData>
    <row r="1" spans="1:14" x14ac:dyDescent="0.25">
      <c r="B1" s="2" t="str">
        <f>tsla!B1</f>
        <v>close</v>
      </c>
      <c r="C1" s="2"/>
      <c r="D1" s="2" t="str">
        <f>tsla!C1</f>
        <v>high</v>
      </c>
      <c r="E1" s="2" t="str">
        <f>tsla!D1</f>
        <v>low</v>
      </c>
      <c r="F1" s="2" t="str">
        <f>tsla!E1</f>
        <v>volume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85</v>
      </c>
      <c r="M1" s="2" t="s">
        <v>86</v>
      </c>
      <c r="N1" s="10" t="s">
        <v>84</v>
      </c>
    </row>
    <row r="2" spans="1:14" x14ac:dyDescent="0.25">
      <c r="A2" s="1">
        <f>tsla!A2</f>
        <v>45292</v>
      </c>
      <c r="B2" s="2">
        <f>tsla!B2</f>
        <v>100</v>
      </c>
      <c r="C2" s="2">
        <v>0</v>
      </c>
      <c r="D2" s="2">
        <f>tsla!C2+C2</f>
        <v>101</v>
      </c>
      <c r="E2" s="2">
        <f>tsla!D2</f>
        <v>99</v>
      </c>
      <c r="F2" s="2">
        <f>tsla!E2</f>
        <v>1000</v>
      </c>
      <c r="G2" s="2">
        <f>D2-E2</f>
        <v>2</v>
      </c>
      <c r="H2" s="2">
        <f>B2-E2</f>
        <v>1</v>
      </c>
      <c r="I2" s="2">
        <f>D2-B2</f>
        <v>1</v>
      </c>
      <c r="J2" s="2">
        <f>(H2-I2)/G2</f>
        <v>0</v>
      </c>
      <c r="K2" s="2">
        <f>J2*F2</f>
        <v>0</v>
      </c>
    </row>
    <row r="3" spans="1:14" x14ac:dyDescent="0.25">
      <c r="A3" s="1">
        <f>tsla!A3</f>
        <v>45293</v>
      </c>
      <c r="B3" s="2">
        <f>tsla!B3</f>
        <v>102</v>
      </c>
      <c r="C3" s="2">
        <f>C2+0.5</f>
        <v>0.5</v>
      </c>
      <c r="D3" s="2">
        <f>tsla!C3+C3</f>
        <v>103.5</v>
      </c>
      <c r="E3" s="2">
        <f>tsla!D3</f>
        <v>101</v>
      </c>
      <c r="F3" s="2">
        <f>tsla!E3</f>
        <v>950</v>
      </c>
      <c r="G3" s="2">
        <f t="shared" ref="G3:G16" si="0">D3-E3</f>
        <v>2.5</v>
      </c>
      <c r="H3" s="2">
        <f t="shared" ref="H3:H16" si="1">B3-E3</f>
        <v>1</v>
      </c>
      <c r="I3" s="2">
        <f t="shared" ref="I3:I16" si="2">D3-B3</f>
        <v>1.5</v>
      </c>
      <c r="J3" s="2">
        <f t="shared" ref="J3:J16" si="3">(H3-I3)/G3</f>
        <v>-0.2</v>
      </c>
      <c r="K3" s="2">
        <f t="shared" ref="K3:K16" si="4">J3*F3</f>
        <v>-190</v>
      </c>
    </row>
    <row r="4" spans="1:14" x14ac:dyDescent="0.25">
      <c r="A4" s="1">
        <f>tsla!A4</f>
        <v>45294</v>
      </c>
      <c r="B4" s="2">
        <f>tsla!B4</f>
        <v>101</v>
      </c>
      <c r="C4" s="2">
        <f t="shared" ref="C4:C16" si="5">C3+0.5</f>
        <v>1</v>
      </c>
      <c r="D4" s="2">
        <f>tsla!C4+C4</f>
        <v>103</v>
      </c>
      <c r="E4" s="2">
        <f>tsla!D4</f>
        <v>100</v>
      </c>
      <c r="F4" s="2">
        <f>tsla!E4</f>
        <v>990</v>
      </c>
      <c r="G4" s="2">
        <f t="shared" si="0"/>
        <v>3</v>
      </c>
      <c r="H4" s="2">
        <f t="shared" si="1"/>
        <v>1</v>
      </c>
      <c r="I4" s="2">
        <f t="shared" si="2"/>
        <v>2</v>
      </c>
      <c r="J4" s="2">
        <f t="shared" si="3"/>
        <v>-0.33333333333333331</v>
      </c>
      <c r="K4" s="2">
        <f t="shared" si="4"/>
        <v>-330</v>
      </c>
    </row>
    <row r="5" spans="1:14" x14ac:dyDescent="0.25">
      <c r="A5" s="1">
        <f>tsla!A5</f>
        <v>45295</v>
      </c>
      <c r="B5" s="2">
        <f>tsla!B5</f>
        <v>103</v>
      </c>
      <c r="C5" s="2">
        <f t="shared" si="5"/>
        <v>1.5</v>
      </c>
      <c r="D5" s="2">
        <f>tsla!C5+C5</f>
        <v>105.5</v>
      </c>
      <c r="E5" s="2">
        <f>tsla!D5</f>
        <v>102</v>
      </c>
      <c r="F5" s="2">
        <f>tsla!E5</f>
        <v>1020</v>
      </c>
      <c r="G5" s="2">
        <f t="shared" si="0"/>
        <v>3.5</v>
      </c>
      <c r="H5" s="2">
        <f t="shared" si="1"/>
        <v>1</v>
      </c>
      <c r="I5" s="2">
        <f t="shared" si="2"/>
        <v>2.5</v>
      </c>
      <c r="J5" s="2">
        <f t="shared" si="3"/>
        <v>-0.42857142857142855</v>
      </c>
      <c r="K5" s="2">
        <f t="shared" si="4"/>
        <v>-437.14285714285711</v>
      </c>
    </row>
    <row r="6" spans="1:14" x14ac:dyDescent="0.25">
      <c r="A6" s="1">
        <f>tsla!A6</f>
        <v>45296</v>
      </c>
      <c r="B6" s="2">
        <f>tsla!B6</f>
        <v>102</v>
      </c>
      <c r="C6" s="2">
        <f t="shared" si="5"/>
        <v>2</v>
      </c>
      <c r="D6" s="2">
        <f>tsla!C6+C6</f>
        <v>105</v>
      </c>
      <c r="E6" s="2">
        <f>tsla!D6</f>
        <v>101</v>
      </c>
      <c r="F6" s="2">
        <f>tsla!E6</f>
        <v>1100</v>
      </c>
      <c r="G6" s="2">
        <f t="shared" si="0"/>
        <v>4</v>
      </c>
      <c r="H6" s="2">
        <f t="shared" si="1"/>
        <v>1</v>
      </c>
      <c r="I6" s="2">
        <f t="shared" si="2"/>
        <v>3</v>
      </c>
      <c r="J6" s="2">
        <f t="shared" si="3"/>
        <v>-0.5</v>
      </c>
      <c r="K6" s="2">
        <f t="shared" si="4"/>
        <v>-550</v>
      </c>
      <c r="L6">
        <f>AVERAGE(K2:K6)</f>
        <v>-301.42857142857144</v>
      </c>
      <c r="M6">
        <f>AVERAGE(F2:F6)</f>
        <v>1012</v>
      </c>
      <c r="N6" s="12">
        <f>L6/M6</f>
        <v>-0.29785431959345005</v>
      </c>
    </row>
    <row r="7" spans="1:14" x14ac:dyDescent="0.25">
      <c r="A7" s="1">
        <f>tsla!A7</f>
        <v>45297</v>
      </c>
      <c r="B7" s="2">
        <f>tsla!B7</f>
        <v>104</v>
      </c>
      <c r="C7" s="2">
        <f t="shared" si="5"/>
        <v>2.5</v>
      </c>
      <c r="D7" s="2">
        <f>tsla!C7+C7</f>
        <v>107.5</v>
      </c>
      <c r="E7" s="2">
        <f>tsla!D7</f>
        <v>103</v>
      </c>
      <c r="F7" s="2">
        <f>tsla!E7</f>
        <v>900</v>
      </c>
      <c r="G7" s="2">
        <f t="shared" si="0"/>
        <v>4.5</v>
      </c>
      <c r="H7" s="2">
        <f t="shared" si="1"/>
        <v>1</v>
      </c>
      <c r="I7" s="2">
        <f t="shared" si="2"/>
        <v>3.5</v>
      </c>
      <c r="J7" s="2">
        <f t="shared" si="3"/>
        <v>-0.55555555555555558</v>
      </c>
      <c r="K7" s="2">
        <f t="shared" si="4"/>
        <v>-500</v>
      </c>
      <c r="L7">
        <f t="shared" ref="L7:L16" si="6">AVERAGE(K3:K7)</f>
        <v>-401.42857142857144</v>
      </c>
      <c r="M7">
        <f t="shared" ref="M7:M16" si="7">AVERAGE(F3:F7)</f>
        <v>992</v>
      </c>
      <c r="N7" s="12">
        <f t="shared" ref="N7:N16" si="8">L7/M7</f>
        <v>-0.40466589861751151</v>
      </c>
    </row>
    <row r="8" spans="1:14" x14ac:dyDescent="0.25">
      <c r="A8" s="1">
        <f>tsla!A8</f>
        <v>45298</v>
      </c>
      <c r="B8" s="2">
        <f>tsla!B8</f>
        <v>106</v>
      </c>
      <c r="C8" s="2">
        <f t="shared" si="5"/>
        <v>3</v>
      </c>
      <c r="D8" s="2">
        <f>tsla!C8+C8</f>
        <v>110</v>
      </c>
      <c r="E8" s="2">
        <f>tsla!D8</f>
        <v>105</v>
      </c>
      <c r="F8" s="2">
        <f>tsla!E8</f>
        <v>980</v>
      </c>
      <c r="G8" s="2">
        <f t="shared" si="0"/>
        <v>5</v>
      </c>
      <c r="H8" s="2">
        <f t="shared" si="1"/>
        <v>1</v>
      </c>
      <c r="I8" s="2">
        <f t="shared" si="2"/>
        <v>4</v>
      </c>
      <c r="J8" s="2">
        <f t="shared" si="3"/>
        <v>-0.6</v>
      </c>
      <c r="K8" s="2">
        <f t="shared" si="4"/>
        <v>-588</v>
      </c>
      <c r="L8">
        <f t="shared" si="6"/>
        <v>-481.02857142857135</v>
      </c>
      <c r="M8">
        <f t="shared" si="7"/>
        <v>998</v>
      </c>
      <c r="N8" s="12">
        <f t="shared" si="8"/>
        <v>-0.48199255654165468</v>
      </c>
    </row>
    <row r="9" spans="1:14" x14ac:dyDescent="0.25">
      <c r="A9" s="1">
        <f>tsla!A9</f>
        <v>45299</v>
      </c>
      <c r="B9" s="2">
        <f>tsla!B9</f>
        <v>105</v>
      </c>
      <c r="C9" s="2">
        <f t="shared" si="5"/>
        <v>3.5</v>
      </c>
      <c r="D9" s="2">
        <f>tsla!C9+C9</f>
        <v>109.5</v>
      </c>
      <c r="E9" s="2">
        <f>tsla!D9</f>
        <v>104</v>
      </c>
      <c r="F9" s="2">
        <f>tsla!E9</f>
        <v>1030</v>
      </c>
      <c r="G9" s="2">
        <f t="shared" si="0"/>
        <v>5.5</v>
      </c>
      <c r="H9" s="2">
        <f t="shared" si="1"/>
        <v>1</v>
      </c>
      <c r="I9" s="2">
        <f t="shared" si="2"/>
        <v>4.5</v>
      </c>
      <c r="J9" s="2">
        <f t="shared" si="3"/>
        <v>-0.63636363636363635</v>
      </c>
      <c r="K9" s="2">
        <f t="shared" si="4"/>
        <v>-655.4545454545455</v>
      </c>
      <c r="L9">
        <f t="shared" si="6"/>
        <v>-546.11948051948048</v>
      </c>
      <c r="M9">
        <f t="shared" si="7"/>
        <v>1006</v>
      </c>
      <c r="N9" s="12">
        <f t="shared" si="8"/>
        <v>-0.54286230667940405</v>
      </c>
    </row>
    <row r="10" spans="1:14" x14ac:dyDescent="0.25">
      <c r="A10" s="1">
        <f>tsla!A10</f>
        <v>45300</v>
      </c>
      <c r="B10" s="2">
        <f>tsla!B10</f>
        <v>107</v>
      </c>
      <c r="C10" s="2">
        <f t="shared" si="5"/>
        <v>4</v>
      </c>
      <c r="D10" s="2">
        <f>tsla!C10+C10</f>
        <v>112</v>
      </c>
      <c r="E10" s="2">
        <f>tsla!D10</f>
        <v>106</v>
      </c>
      <c r="F10" s="2">
        <f>tsla!E10</f>
        <v>1100</v>
      </c>
      <c r="G10" s="2">
        <f t="shared" si="0"/>
        <v>6</v>
      </c>
      <c r="H10" s="2">
        <f t="shared" si="1"/>
        <v>1</v>
      </c>
      <c r="I10" s="2">
        <f t="shared" si="2"/>
        <v>5</v>
      </c>
      <c r="J10" s="2">
        <f t="shared" si="3"/>
        <v>-0.66666666666666663</v>
      </c>
      <c r="K10" s="2">
        <f t="shared" si="4"/>
        <v>-733.33333333333326</v>
      </c>
      <c r="L10">
        <f t="shared" si="6"/>
        <v>-605.35757575757577</v>
      </c>
      <c r="M10">
        <f t="shared" si="7"/>
        <v>1022</v>
      </c>
      <c r="N10" s="12">
        <f t="shared" si="8"/>
        <v>-0.59232639506612106</v>
      </c>
    </row>
    <row r="11" spans="1:14" x14ac:dyDescent="0.25">
      <c r="A11" s="1">
        <f>tsla!A11</f>
        <v>45301</v>
      </c>
      <c r="B11" s="2">
        <f>tsla!B11</f>
        <v>108</v>
      </c>
      <c r="C11" s="2">
        <f t="shared" si="5"/>
        <v>4.5</v>
      </c>
      <c r="D11" s="2">
        <f>tsla!C11+C11</f>
        <v>113.5</v>
      </c>
      <c r="E11" s="2">
        <f>tsla!D11</f>
        <v>107</v>
      </c>
      <c r="F11" s="2">
        <f>tsla!E11</f>
        <v>1080</v>
      </c>
      <c r="G11" s="2">
        <f t="shared" si="0"/>
        <v>6.5</v>
      </c>
      <c r="H11" s="2">
        <f t="shared" si="1"/>
        <v>1</v>
      </c>
      <c r="I11" s="2">
        <f t="shared" si="2"/>
        <v>5.5</v>
      </c>
      <c r="J11" s="2">
        <f t="shared" si="3"/>
        <v>-0.69230769230769229</v>
      </c>
      <c r="K11" s="2">
        <f t="shared" si="4"/>
        <v>-747.69230769230762</v>
      </c>
      <c r="L11">
        <f t="shared" si="6"/>
        <v>-644.89603729603732</v>
      </c>
      <c r="M11">
        <f t="shared" si="7"/>
        <v>1018</v>
      </c>
      <c r="N11" s="12">
        <f t="shared" si="8"/>
        <v>-0.63349316040868109</v>
      </c>
    </row>
    <row r="12" spans="1:14" x14ac:dyDescent="0.25">
      <c r="A12" s="1">
        <f>tsla!A12</f>
        <v>45302</v>
      </c>
      <c r="B12" s="2">
        <f>tsla!B12</f>
        <v>110</v>
      </c>
      <c r="C12" s="2">
        <f t="shared" si="5"/>
        <v>5</v>
      </c>
      <c r="D12" s="2">
        <f>tsla!C12+C12</f>
        <v>116</v>
      </c>
      <c r="E12" s="2">
        <f>tsla!D12</f>
        <v>109</v>
      </c>
      <c r="F12" s="2">
        <f>tsla!E12</f>
        <v>975</v>
      </c>
      <c r="G12" s="2">
        <f t="shared" si="0"/>
        <v>7</v>
      </c>
      <c r="H12" s="2">
        <f t="shared" si="1"/>
        <v>1</v>
      </c>
      <c r="I12" s="2">
        <f t="shared" si="2"/>
        <v>6</v>
      </c>
      <c r="J12" s="2">
        <f t="shared" si="3"/>
        <v>-0.7142857142857143</v>
      </c>
      <c r="K12" s="2">
        <f t="shared" si="4"/>
        <v>-696.42857142857144</v>
      </c>
      <c r="L12">
        <f t="shared" si="6"/>
        <v>-684.18175158175166</v>
      </c>
      <c r="M12">
        <f t="shared" si="7"/>
        <v>1033</v>
      </c>
      <c r="N12" s="12">
        <f t="shared" si="8"/>
        <v>-0.66232502573257668</v>
      </c>
    </row>
    <row r="13" spans="1:14" x14ac:dyDescent="0.25">
      <c r="A13" s="1">
        <f>tsla!A13</f>
        <v>45303</v>
      </c>
      <c r="B13" s="2">
        <f>tsla!B13</f>
        <v>109</v>
      </c>
      <c r="C13" s="2">
        <f t="shared" si="5"/>
        <v>5.5</v>
      </c>
      <c r="D13" s="2">
        <f>tsla!C13+C13</f>
        <v>115.5</v>
      </c>
      <c r="E13" s="2">
        <f>tsla!D13</f>
        <v>108</v>
      </c>
      <c r="F13" s="2">
        <f>tsla!E13</f>
        <v>1010</v>
      </c>
      <c r="G13" s="2">
        <f t="shared" si="0"/>
        <v>7.5</v>
      </c>
      <c r="H13" s="2">
        <f t="shared" si="1"/>
        <v>1</v>
      </c>
      <c r="I13" s="2">
        <f t="shared" si="2"/>
        <v>6.5</v>
      </c>
      <c r="J13" s="2">
        <f t="shared" si="3"/>
        <v>-0.73333333333333328</v>
      </c>
      <c r="K13" s="2">
        <f t="shared" si="4"/>
        <v>-740.66666666666663</v>
      </c>
      <c r="L13">
        <f t="shared" si="6"/>
        <v>-714.71508491508496</v>
      </c>
      <c r="M13">
        <f t="shared" si="7"/>
        <v>1039</v>
      </c>
      <c r="N13" s="12">
        <f t="shared" si="8"/>
        <v>-0.68788747345051493</v>
      </c>
    </row>
    <row r="14" spans="1:14" x14ac:dyDescent="0.25">
      <c r="A14" s="1">
        <f>tsla!A14</f>
        <v>45304</v>
      </c>
      <c r="B14" s="2">
        <f>tsla!B14</f>
        <v>111</v>
      </c>
      <c r="C14" s="2">
        <f t="shared" si="5"/>
        <v>6</v>
      </c>
      <c r="D14" s="2">
        <f>tsla!C14+C14</f>
        <v>118</v>
      </c>
      <c r="E14" s="2">
        <f>tsla!D14</f>
        <v>110</v>
      </c>
      <c r="F14" s="2">
        <f>tsla!E14</f>
        <v>1110</v>
      </c>
      <c r="G14" s="2">
        <f t="shared" si="0"/>
        <v>8</v>
      </c>
      <c r="H14" s="2">
        <f t="shared" si="1"/>
        <v>1</v>
      </c>
      <c r="I14" s="2">
        <f t="shared" si="2"/>
        <v>7</v>
      </c>
      <c r="J14" s="2">
        <f t="shared" si="3"/>
        <v>-0.75</v>
      </c>
      <c r="K14" s="2">
        <f t="shared" si="4"/>
        <v>-832.5</v>
      </c>
      <c r="L14">
        <f t="shared" si="6"/>
        <v>-750.12417582417572</v>
      </c>
      <c r="M14">
        <f t="shared" si="7"/>
        <v>1055</v>
      </c>
      <c r="N14" s="12">
        <f t="shared" si="8"/>
        <v>-0.71101817613665941</v>
      </c>
    </row>
    <row r="15" spans="1:14" x14ac:dyDescent="0.25">
      <c r="A15" s="1">
        <f>tsla!A15</f>
        <v>45305</v>
      </c>
      <c r="B15" s="2">
        <f>tsla!B15</f>
        <v>112</v>
      </c>
      <c r="C15" s="2">
        <f t="shared" si="5"/>
        <v>6.5</v>
      </c>
      <c r="D15" s="2">
        <f>tsla!C15+C15</f>
        <v>119.5</v>
      </c>
      <c r="E15" s="2">
        <f>tsla!D15</f>
        <v>111</v>
      </c>
      <c r="F15" s="2">
        <f>tsla!E15</f>
        <v>1050</v>
      </c>
      <c r="G15" s="2">
        <f t="shared" si="0"/>
        <v>8.5</v>
      </c>
      <c r="H15" s="2">
        <f t="shared" si="1"/>
        <v>1</v>
      </c>
      <c r="I15" s="2">
        <f t="shared" si="2"/>
        <v>7.5</v>
      </c>
      <c r="J15" s="2">
        <f t="shared" si="3"/>
        <v>-0.76470588235294112</v>
      </c>
      <c r="K15" s="2">
        <f t="shared" si="4"/>
        <v>-802.94117647058818</v>
      </c>
      <c r="L15">
        <f t="shared" si="6"/>
        <v>-764.04574445162677</v>
      </c>
      <c r="M15">
        <f t="shared" si="7"/>
        <v>1045</v>
      </c>
      <c r="N15" s="12">
        <f t="shared" si="8"/>
        <v>-0.73114425306375763</v>
      </c>
    </row>
    <row r="16" spans="1:14" x14ac:dyDescent="0.25">
      <c r="A16" s="1">
        <f>tsla!A16</f>
        <v>45306</v>
      </c>
      <c r="B16" s="2">
        <f>tsla!B16</f>
        <v>113</v>
      </c>
      <c r="C16" s="2">
        <f t="shared" si="5"/>
        <v>7</v>
      </c>
      <c r="D16" s="2">
        <f>tsla!C16+C16</f>
        <v>121</v>
      </c>
      <c r="E16" s="2">
        <f>tsla!D16</f>
        <v>112</v>
      </c>
      <c r="F16" s="2">
        <f>tsla!E16</f>
        <v>1130</v>
      </c>
      <c r="G16" s="2">
        <f t="shared" si="0"/>
        <v>9</v>
      </c>
      <c r="H16" s="2">
        <f t="shared" si="1"/>
        <v>1</v>
      </c>
      <c r="I16" s="2">
        <f t="shared" si="2"/>
        <v>8</v>
      </c>
      <c r="J16" s="2">
        <f t="shared" si="3"/>
        <v>-0.77777777777777779</v>
      </c>
      <c r="K16" s="2">
        <f t="shared" si="4"/>
        <v>-878.88888888888891</v>
      </c>
      <c r="L16">
        <f t="shared" si="6"/>
        <v>-790.28506069094306</v>
      </c>
      <c r="M16">
        <f t="shared" si="7"/>
        <v>1055</v>
      </c>
      <c r="N16" s="12">
        <f t="shared" si="8"/>
        <v>-0.74908536558383232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2642-5A53-4CED-8743-A895F1EE06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aapl</vt:lpstr>
      <vt:lpstr>tsla</vt:lpstr>
      <vt:lpstr>sp500</vt:lpstr>
      <vt:lpstr>sma_5_aapl</vt:lpstr>
      <vt:lpstr>ema_3_aapl</vt:lpstr>
      <vt:lpstr>macd_12_26_tsla</vt:lpstr>
      <vt:lpstr>adx_5_tsla</vt:lpstr>
      <vt:lpstr>rsi_5_tsla</vt:lpstr>
      <vt:lpstr>stoch_5_3</vt:lpstr>
      <vt:lpstr>cci_5_tsla</vt:lpstr>
      <vt:lpstr>momentum_4_tsla</vt:lpstr>
      <vt:lpstr>daily_return</vt:lpstr>
      <vt:lpstr>cum_return</vt:lpstr>
      <vt:lpstr>adx_5_20_aapl</vt:lpstr>
      <vt:lpstr>tr_tsla</vt:lpstr>
      <vt:lpstr>atr_tsla</vt:lpstr>
      <vt:lpstr>stddev_5_tsla</vt:lpstr>
      <vt:lpstr>vsma_5_aapl</vt:lpstr>
      <vt:lpstr>vema_5_aapl</vt:lpstr>
      <vt:lpstr>pvt_tsla</vt:lpstr>
      <vt:lpstr>obv_tsla</vt:lpstr>
      <vt:lpstr>cmf_5_tsla</vt:lpstr>
      <vt:lpstr>Sheet17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Kornet</dc:creator>
  <cp:lastModifiedBy>Frank Kornet</cp:lastModifiedBy>
  <dcterms:created xsi:type="dcterms:W3CDTF">2025-06-26T22:08:58Z</dcterms:created>
  <dcterms:modified xsi:type="dcterms:W3CDTF">2025-07-18T16:45:49Z</dcterms:modified>
</cp:coreProperties>
</file>